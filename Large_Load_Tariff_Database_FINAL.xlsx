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20340" tabRatio="600" firstSheet="0" activeTab="1" autoFilterDateGrouping="1"/>
  </bookViews>
  <sheets>
    <sheet xmlns:r="http://schemas.openxmlformats.org/officeDocument/2006/relationships" name="Tariff Database" sheetId="1" state="visible" r:id="rId1"/>
    <sheet xmlns:r="http://schemas.openxmlformats.org/officeDocument/2006/relationships" name="Blended Rate Analysis" sheetId="2" state="visible" r:id="rId2"/>
    <sheet xmlns:r="http://schemas.openxmlformats.org/officeDocument/2006/relationships" name="Protection Matrix" sheetId="3" state="visible" r:id="rId3"/>
    <sheet xmlns:r="http://schemas.openxmlformats.org/officeDocument/2006/relationships" name="Document Citations" sheetId="4" state="visible" r:id="rId4"/>
    <sheet xmlns:r="http://schemas.openxmlformats.org/officeDocument/2006/relationships" name="Scoring Methodology" sheetId="5" state="visible" r:id="rId5"/>
    <sheet xmlns:r="http://schemas.openxmlformats.org/officeDocument/2006/relationships" name="QA-QC Summary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0.00000"/>
    <numFmt numFmtId="165" formatCode="#,##0.0"/>
  </numFmts>
  <fonts count="6">
    <font>
      <name val="Calibri"/>
      <family val="2"/>
      <color theme="1"/>
      <sz val="11"/>
      <scheme val="minor"/>
    </font>
    <font>
      <name val="Calibri"/>
      <family val="2"/>
      <b val="1"/>
      <i val="1"/>
      <sz val="11"/>
    </font>
    <font>
      <name val="Calibri"/>
      <family val="2"/>
      <b val="1"/>
      <color rgb="FFFFFFFF"/>
      <sz val="11"/>
    </font>
    <font>
      <name val="Calibri"/>
      <family val="2"/>
      <color rgb="FF0563C1"/>
      <sz val="11"/>
      <u val="single"/>
    </font>
    <font>
      <name val="Calibri"/>
      <family val="2"/>
      <b val="1"/>
      <sz val="14"/>
    </font>
    <font>
      <name val="Calibri"/>
      <family val="2"/>
      <b val="1"/>
      <color rgb="FF006400"/>
      <sz val="11"/>
    </font>
  </fonts>
  <fills count="3">
    <fill>
      <patternFill/>
    </fill>
    <fill>
      <patternFill patternType="gray125"/>
    </fill>
    <fill>
      <patternFill patternType="solid">
        <fgColor rgb="FF2E4057"/>
        <bgColor rgb="FF2E405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0" borderId="0" pivotButton="0" quotePrefix="0" xfId="0"/>
    <xf numFmtId="0" fontId="2" fillId="2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psoklahoma.com/lib/docs/ratesandtariffs/Oklahoma/PSOLargeCommercialandIndustrialFeb2025.pdf" TargetMode="External" Id="rId1"/><Relationship Type="http://schemas.openxmlformats.org/officeDocument/2006/relationships/hyperlink" Target="https://www.oge.com/documents/d/portal/19-00-oct-1-stamped-approved" TargetMode="External" Id="rId2"/><Relationship Type="http://schemas.openxmlformats.org/officeDocument/2006/relationships/hyperlink" Target="https://www.swepco.com/lib/docs/ratesandtariffs/Texas/TexasRatesChargesandFees.pdf" TargetMode="External" Id="rId3"/><Relationship Type="http://schemas.openxmlformats.org/officeDocument/2006/relationships/hyperlink" Target="https://www.ercot.com/mktrules/nprotocols" TargetMode="External" Id="rId4"/><Relationship Type="http://schemas.openxmlformats.org/officeDocument/2006/relationships/hyperlink" Target="https://www.oncor.com/content/dam/oncorwww/documents/tariff/OnDTTariff.pdf" TargetMode="External" Id="rId5"/><Relationship Type="http://schemas.openxmlformats.org/officeDocument/2006/relationships/hyperlink" Target="https://www.centerpointenergy.com/en-us/corp/pages/rates-and-tariffs-electric.aspx" TargetMode="External" Id="rId6"/><Relationship Type="http://schemas.openxmlformats.org/officeDocument/2006/relationships/hyperlink" Target="https://www.cpsenergy.com/en/my-home/rates/commercial-rates.html" TargetMode="External" Id="rId7"/><Relationship Type="http://schemas.openxmlformats.org/officeDocument/2006/relationships/hyperlink" Target="https://austinenergy.com/ae/rates/commercial-rates" TargetMode="External" Id="rId8"/><Relationship Type="http://schemas.openxmlformats.org/officeDocument/2006/relationships/hyperlink" Target="https://www.georgiapower.com/content/dam/georgia-power/pdfs/business-pdfs/rates-schedules/small-business/PLL-11.pdf" TargetMode="External" Id="rId9"/><Relationship Type="http://schemas.openxmlformats.org/officeDocument/2006/relationships/hyperlink" Target="https://www.duke-energy.com/home/billing/rates" TargetMode="External" Id="rId10"/><Relationship Type="http://schemas.openxmlformats.org/officeDocument/2006/relationships/hyperlink" Target="https://www.floridapsc.com/pscfiles/library/filings/2025/09146-2025/09146-2025.pdf" TargetMode="External" Id="rId11"/><Relationship Type="http://schemas.openxmlformats.org/officeDocument/2006/relationships/hyperlink" Target="https://www.fpl.com/rates/pdf/electric-tariff-section8.pdf" TargetMode="External" Id="rId12"/><Relationship Type="http://schemas.openxmlformats.org/officeDocument/2006/relationships/hyperlink" Target="https://www.alabamapower.com/content/dam/alabama-power/pdfs-docs/Rates/LPL.pdf" TargetMode="External" Id="rId13"/><Relationship Type="http://schemas.openxmlformats.org/officeDocument/2006/relationships/hyperlink" Target="https://www.mississippipower.com/content/dam/mississippi-power/business/pricing-and-rates/2025/commercial-and-industrial-rates/1_Sch_47_LPO-TOU-17_JAR.pdf" TargetMode="External" Id="rId14"/><Relationship Type="http://schemas.openxmlformats.org/officeDocument/2006/relationships/hyperlink" Target="https://www.tampaelectric.com/company/ourpowersystem/tariff/" TargetMode="External" Id="rId15"/><Relationship Type="http://schemas.openxmlformats.org/officeDocument/2006/relationships/hyperlink" Target="https://www.tva.com/energy/valley-energy-rates" TargetMode="External" Id="rId16"/><Relationship Type="http://schemas.openxmlformats.org/officeDocument/2006/relationships/hyperlink" Target="https://www.santeecooper.com/Rates/Rate-Study/" TargetMode="External" Id="rId17"/><Relationship Type="http://schemas.openxmlformats.org/officeDocument/2006/relationships/hyperlink" Target="https://www.entergylouisiana.com/business/ell-tariffs" TargetMode="External" Id="rId18"/><Relationship Type="http://schemas.openxmlformats.org/officeDocument/2006/relationships/hyperlink" Target="https://www.jea.com/rates" TargetMode="External" Id="rId19"/><Relationship Type="http://schemas.openxmlformats.org/officeDocument/2006/relationships/hyperlink" Target="https://www.aepohio.com/lib/docs/ratesandtariffs/ohio/aepohio-tariff.pdf" TargetMode="External" Id="rId20"/><Relationship Type="http://schemas.openxmlformats.org/officeDocument/2006/relationships/hyperlink" Target="https://www.dominionenergy.com/virginia/rates-and-tariffs" TargetMode="External" Id="rId21"/><Relationship Type="http://schemas.openxmlformats.org/officeDocument/2006/relationships/hyperlink" Target="https://www.novec.com/rates" TargetMode="External" Id="rId22"/><Relationship Type="http://schemas.openxmlformats.org/officeDocument/2006/relationships/hyperlink" Target="https://www.pplelectric.com/utility/about-us/electric-rates-and-rules/current-electric-tariff.aspx" TargetMode="External" Id="rId23"/><Relationship Type="http://schemas.openxmlformats.org/officeDocument/2006/relationships/hyperlink" Target="https://nj.pseg.com/aboutpseg/regulatorypage/electrictariffs" TargetMode="External" Id="rId24"/><Relationship Type="http://schemas.openxmlformats.org/officeDocument/2006/relationships/hyperlink" Target="https://supplier.bge.com/electric/tariffs/index.asp" TargetMode="External" Id="rId25"/><Relationship Type="http://schemas.openxmlformats.org/officeDocument/2006/relationships/hyperlink" Target="https://www.pepco.com/MyAccount/MyBillUsage/Pages/MD/ElectricRates.aspx" TargetMode="External" Id="rId26"/><Relationship Type="http://schemas.openxmlformats.org/officeDocument/2006/relationships/hyperlink" Target="https://www.peco.com/MyAccount/MyBillUsage/Pages/CurrentRates.aspx" TargetMode="External" Id="rId27"/><Relationship Type="http://schemas.openxmlformats.org/officeDocument/2006/relationships/hyperlink" Target="https://www.comed.com/current-rates-tariffs" TargetMode="External" Id="rId28"/><Relationship Type="http://schemas.openxmlformats.org/officeDocument/2006/relationships/hyperlink" Target="https://www.atlanticcityelectric.com/MyAccount/MyBillUsage/Pages/NJ/CurrentRates.aspx" TargetMode="External" Id="rId29"/><Relationship Type="http://schemas.openxmlformats.org/officeDocument/2006/relationships/hyperlink" Target="https://www.delmarva.com/MyAccount/MyBillUsage/Pages/DE/CurrentRates.aspx" TargetMode="External" Id="rId30"/><Relationship Type="http://schemas.openxmlformats.org/officeDocument/2006/relationships/hyperlink" Target="https://www.firstenergycorp.com/ohio/rates.html" TargetMode="External" Id="rId31"/><Relationship Type="http://schemas.openxmlformats.org/officeDocument/2006/relationships/hyperlink" Target="https://www.firstenergycorp.com/pa/rates.html" TargetMode="External" Id="rId32"/><Relationship Type="http://schemas.openxmlformats.org/officeDocument/2006/relationships/hyperlink" Target="https://www.firstenergycorp.com/pa/rates.html" TargetMode="External" Id="rId33"/><Relationship Type="http://schemas.openxmlformats.org/officeDocument/2006/relationships/hyperlink" Target="https://www.firstenergycorp.com/nj/rates.html" TargetMode="External" Id="rId34"/><Relationship Type="http://schemas.openxmlformats.org/officeDocument/2006/relationships/hyperlink" Target="https://s21.q4cdn.com/448935352/files/doc_presentations/2025/Nov/24/Ameren-Missouri-Large-Load-Customer-Rate-Plan-vfinal.pdf" TargetMode="External" Id="rId35"/><Relationship Type="http://schemas.openxmlformats.org/officeDocument/2006/relationships/hyperlink" Target="https://www.evergy.com/-/media/documents/billing/missouri/detailed_tariffs_mo/mo-west/large-power-service.pdf" TargetMode="External" Id="rId36"/><Relationship Type="http://schemas.openxmlformats.org/officeDocument/2006/relationships/hyperlink" Target="https://www.michigan.gov/mpsc/-/media/Project/Websites/mpsc/consumer/info/briefs/Issue_Brief_U-21859_Consumers_Energy.pdf" TargetMode="External" Id="rId37"/><Relationship Type="http://schemas.openxmlformats.org/officeDocument/2006/relationships/hyperlink" Target="https://www.dteenergy.com/content/dam/dteenergy/deg/website/business/service-and-price/pricing/rate-options/PrimarySupplyAgreementD11.pdf" TargetMode="External" Id="rId38"/><Relationship Type="http://schemas.openxmlformats.org/officeDocument/2006/relationships/hyperlink" Target="https://www.we-energies.com/pdfs/etariffs/wisconsin/2025-rates-brochures.pdf" TargetMode="External" Id="rId39"/><Relationship Type="http://schemas.openxmlformats.org/officeDocument/2006/relationships/hyperlink" Target="https://www.xcelenergy.com/company/rates_and_regulations/rates/rate_books" TargetMode="External" Id="rId40"/><Relationship Type="http://schemas.openxmlformats.org/officeDocument/2006/relationships/hyperlink" Target="https://www.xcelenergy.com/company/rates_and_regulations/rates/rate_books" TargetMode="External" Id="rId41"/><Relationship Type="http://schemas.openxmlformats.org/officeDocument/2006/relationships/hyperlink" Target="http://psc.ky.gov/tariffs/Electric/Kentucky%20Utilities%20Company/Tariff.pdf" TargetMode="External" Id="rId42"/><Relationship Type="http://schemas.openxmlformats.org/officeDocument/2006/relationships/hyperlink" Target="https://www.midamericanenergy.com/ia-electric-tariffs" TargetMode="External" Id="rId43"/><Relationship Type="http://schemas.openxmlformats.org/officeDocument/2006/relationships/hyperlink" Target="https://www.alliantenergy.com/CustomerService/AlliantEnergyService/WisconsinElectricRates" TargetMode="External" Id="rId44"/><Relationship Type="http://schemas.openxmlformats.org/officeDocument/2006/relationships/hyperlink" Target="https://www.otpco.com/rates" TargetMode="External" Id="rId45"/><Relationship Type="http://schemas.openxmlformats.org/officeDocument/2006/relationships/hyperlink" Target="https://www.nppd.com/about-us/rates" TargetMode="External" Id="rId46"/><Relationship Type="http://schemas.openxmlformats.org/officeDocument/2006/relationships/hyperlink" Target="https://www.oppd.com/rates/" TargetMode="External" Id="rId47"/><Relationship Type="http://schemas.openxmlformats.org/officeDocument/2006/relationships/hyperlink" Target="https://puc.sd.gov/dockets/Electric/2025/default.aspx" TargetMode="External" Id="rId48"/><Relationship Type="http://schemas.openxmlformats.org/officeDocument/2006/relationships/hyperlink" Target="https://www.blackhillsenergy.com/billing-and-payments/rates-and-regulatory-information/wyoming-rates-and-regulatory-information" TargetMode="External" Id="rId49"/><Relationship Type="http://schemas.openxmlformats.org/officeDocument/2006/relationships/hyperlink" Target="https://www.nvenergy.com/publish/content/dam/nvenergy/brochures_702/handbook.pdf" TargetMode="External" Id="rId50"/><Relationship Type="http://schemas.openxmlformats.org/officeDocument/2006/relationships/hyperlink" Target="https://www.aps.com/en/Residential/Service-Plans/Compare-Service-Plans" TargetMode="External" Id="rId51"/><Relationship Type="http://schemas.openxmlformats.org/officeDocument/2006/relationships/hyperlink" Target="https://www.srpnet.com/assets/srpnet/pdf/price-plans/FY26/" TargetMode="External" Id="rId52"/><Relationship Type="http://schemas.openxmlformats.org/officeDocument/2006/relationships/hyperlink" Target="https://www.rockymountainpower.net/content/dam/pcorp/documents/en/rockymountainpower/rates-regulation/utah/rates/031_Partial_Requirements_Service_Large_General_Service_1000kW_and_Over.pdf" TargetMode="External" Id="rId53"/><Relationship Type="http://schemas.openxmlformats.org/officeDocument/2006/relationships/hyperlink" Target="https://www.pnm.com/rates" TargetMode="External" Id="rId54"/><Relationship Type="http://schemas.openxmlformats.org/officeDocument/2006/relationships/hyperlink" Target="https://www.tep.com/rates" TargetMode="External" Id="rId55"/><Relationship Type="http://schemas.openxmlformats.org/officeDocument/2006/relationships/hyperlink" Target="https://www.epelectric.com/rates" TargetMode="External" Id="rId56"/><Relationship Type="http://schemas.openxmlformats.org/officeDocument/2006/relationships/hyperlink" Target="https://www.pge.com/tariffs/assets/pdf/tariffbook/ELEC_SCHEDS_E-20.pdf" TargetMode="External" Id="rId57"/><Relationship Type="http://schemas.openxmlformats.org/officeDocument/2006/relationships/hyperlink" Target="https://www.sce.com/sites/default/files/inline-files/TOU-8%20Rate%20Fact%20Sheet.pdf" TargetMode="External" Id="rId58"/><Relationship Type="http://schemas.openxmlformats.org/officeDocument/2006/relationships/hyperlink" Target="https://www.sdge.com/sites/default/files/elec_elec-scheds_al-tou.pdf" TargetMode="External" Id="rId59"/><Relationship Type="http://schemas.openxmlformats.org/officeDocument/2006/relationships/hyperlink" Target="https://www.ladwp.com/ladwp/faces/ladwp/commercial/c-customerservices/c-cs-rates" TargetMode="External" Id="rId60"/><Relationship Type="http://schemas.openxmlformats.org/officeDocument/2006/relationships/hyperlink" Target="https://www.smud.org/Rate-Information/Commercial-rates" TargetMode="External" Id="rId61"/><Relationship Type="http://schemas.openxmlformats.org/officeDocument/2006/relationships/hyperlink" Target="https://portlandgeneral.com/about/info/rates-and-regulatory/tariff" TargetMode="External" Id="rId62"/><Relationship Type="http://schemas.openxmlformats.org/officeDocument/2006/relationships/hyperlink" Target="https://docs.idahopower.com/pdfs/aboutus/ratesregulatory/tariffs/191.pdf" TargetMode="External" Id="rId63"/><Relationship Type="http://schemas.openxmlformats.org/officeDocument/2006/relationships/hyperlink" Target="https://www.pse.com/en/pages/rates/schedule-summaries" TargetMode="External" Id="rId64"/><Relationship Type="http://schemas.openxmlformats.org/officeDocument/2006/relationships/hyperlink" Target="https://www.myavista.com/about-us/rates-and-tariffs" TargetMode="External" Id="rId65"/><Relationship Type="http://schemas.openxmlformats.org/officeDocument/2006/relationships/hyperlink" Target="https://www.coned.com/en/rates-tariffs/rates" TargetMode="External" Id="rId66"/><Relationship Type="http://schemas.openxmlformats.org/officeDocument/2006/relationships/hyperlink" Target="https://www.nationalgridus.com/Upstate-NY-Business/Rates/Service-Rates" TargetMode="External" Id="rId67"/><Relationship Type="http://schemas.openxmlformats.org/officeDocument/2006/relationships/hyperlink" Target="https://www.eversource.com/residential/account-billing/manage-bill/about-your-bill/rates-tariffs" TargetMode="External" Id="rId68"/><Relationship Type="http://schemas.openxmlformats.org/officeDocument/2006/relationships/hyperlink" Target="https://www.eversource.com/content/ema-c/residential/my-account/billing-payments/about-your-bill/rates-tariffs" TargetMode="External" Id="rId69"/><Relationship Type="http://schemas.openxmlformats.org/officeDocument/2006/relationships/hyperlink" Target="https://www.nationalgridus.com/MA-Business/Rates/Service-Rates" TargetMode="External" Id="rId70"/><Relationship Type="http://schemas.openxmlformats.org/officeDocument/2006/relationships/hyperlink" Target="https://www.uinet.com/wps/portal/uinet/business/electricrates" TargetMode="External" Id="rId71"/><Relationship Type="http://schemas.openxmlformats.org/officeDocument/2006/relationships/hyperlink" Target="https://www.nationalgridus.com/RI-Business/Rates/Service-Rates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pane xSplit="2" ySplit="2" topLeftCell="C50" activePane="bottomRight" state="frozen"/>
      <selection pane="topRight" activeCell="A1" sqref="A1"/>
      <selection pane="bottomLeft" activeCell="A1" sqref="A1"/>
      <selection pane="bottomRight" activeCell="B72" sqref="B72"/>
    </sheetView>
  </sheetViews>
  <sheetFormatPr baseColWidth="10" defaultColWidth="8.83203125" defaultRowHeight="15"/>
  <cols>
    <col width="4" customWidth="1" min="1" max="1"/>
    <col width="35" customWidth="1" min="2" max="2"/>
    <col width="10" customWidth="1" min="3" max="3"/>
    <col width="12" customWidth="1" min="4" max="4"/>
    <col width="8" customWidth="1" min="5" max="5"/>
    <col width="25" customWidth="1" min="6" max="6"/>
    <col width="20" customWidth="1" min="7" max="7"/>
    <col width="12" customWidth="1" min="8" max="8"/>
    <col width="10" customWidth="1" min="9" max="9"/>
    <col width="8" customWidth="1" min="10" max="10"/>
    <col width="10" customWidth="1" min="11" max="15"/>
    <col width="8" customWidth="1" min="16" max="17"/>
    <col width="6" customWidth="1" min="18" max="19"/>
    <col width="8" customWidth="1" min="20" max="20"/>
    <col width="6" customWidth="1" min="21" max="22"/>
    <col width="8" customWidth="1" min="23" max="24"/>
    <col width="12" customWidth="1" min="25" max="25"/>
    <col width="10" customWidth="1" min="26" max="26"/>
    <col width="8" customWidth="1" min="27" max="28"/>
    <col width="28" customWidth="1" min="29" max="29"/>
    <col width="40" customWidth="1" min="30" max="30"/>
  </cols>
  <sheetData>
    <row r="1">
      <c r="A1" s="1" t="inlineStr">
        <is>
          <t>Parameters: 600 MW DC @ 80% LF = 480 MW avg = 350,400,000 kWh/mo | Peak: 40% (140,160,000 kWh) | Off-Peak: 60% (210,240,000 kWh)</t>
        </is>
      </c>
    </row>
    <row r="2" ht="64" customHeight="1">
      <c r="A2" s="2" t="inlineStr">
        <is>
          <t>Row</t>
        </is>
      </c>
      <c r="B2" s="2" t="inlineStr">
        <is>
          <t>Utility</t>
        </is>
      </c>
      <c r="C2" s="2" t="inlineStr">
        <is>
          <t>State</t>
        </is>
      </c>
      <c r="D2" s="2" t="inlineStr">
        <is>
          <t>Region</t>
        </is>
      </c>
      <c r="E2" s="2" t="inlineStr">
        <is>
          <t>ISO/RTO</t>
        </is>
      </c>
      <c r="F2" s="2" t="inlineStr">
        <is>
          <t>Tariff Name</t>
        </is>
      </c>
      <c r="G2" s="2" t="inlineStr">
        <is>
          <t>Rate Schedule</t>
        </is>
      </c>
      <c r="H2" s="2" t="inlineStr">
        <is>
          <t>Effective Date</t>
        </is>
      </c>
      <c r="I2" s="2" t="inlineStr">
        <is>
          <t>Status</t>
        </is>
      </c>
      <c r="J2" s="2" t="inlineStr">
        <is>
          <t>Min Load (MW)</t>
        </is>
      </c>
      <c r="K2" s="2" t="inlineStr">
        <is>
          <t>Peak Demand ($/kW)</t>
        </is>
      </c>
      <c r="L2" s="2" t="inlineStr">
        <is>
          <t>Off-Peak Demand</t>
        </is>
      </c>
      <c r="M2" s="2" t="inlineStr">
        <is>
          <t>Energy Peak ($/kWh)</t>
        </is>
      </c>
      <c r="N2" s="2" t="inlineStr">
        <is>
          <t>Energy Off-Peak</t>
        </is>
      </c>
      <c r="O2" s="2" t="inlineStr">
        <is>
          <t>Fuel/Rider Adj</t>
        </is>
      </c>
      <c r="P2" s="2" t="inlineStr">
        <is>
          <t>Contract (Yrs)</t>
        </is>
      </c>
      <c r="Q2" s="2" t="inlineStr">
        <is>
          <t>Ratchet %</t>
        </is>
      </c>
      <c r="R2" s="2" t="inlineStr">
        <is>
          <t>Demand Ratchet</t>
        </is>
      </c>
      <c r="S2" s="2" t="inlineStr">
        <is>
          <t>CIAC</t>
        </is>
      </c>
      <c r="T2" s="2" t="inlineStr">
        <is>
          <t>Take-or-Pay</t>
        </is>
      </c>
      <c r="U2" s="2" t="inlineStr">
        <is>
          <t>Exit Fee</t>
        </is>
      </c>
      <c r="V2" s="2" t="inlineStr">
        <is>
          <t>Credit Req</t>
        </is>
      </c>
      <c r="W2" s="2" t="inlineStr">
        <is>
          <t>DC Specific</t>
        </is>
      </c>
      <c r="X2" s="2" t="inlineStr">
        <is>
          <t>Collateral</t>
        </is>
      </c>
      <c r="Y2" s="2" t="inlineStr">
        <is>
          <t>Blended Rate ($/kWh)</t>
        </is>
      </c>
      <c r="Z2" s="2" t="inlineStr">
        <is>
          <t>Annual Cost ($M)</t>
        </is>
      </c>
      <c r="AA2" s="2" t="inlineStr">
        <is>
          <t>Protection Score</t>
        </is>
      </c>
      <c r="AB2" s="2" t="inlineStr">
        <is>
          <t>Protection Rating</t>
        </is>
      </c>
      <c r="AC2" s="2" t="inlineStr">
        <is>
          <t>Rate Components</t>
        </is>
      </c>
      <c r="AD2" s="2" t="inlineStr">
        <is>
          <t>Notes</t>
        </is>
      </c>
    </row>
    <row r="3">
      <c r="A3" s="3" t="n">
        <v>1</v>
      </c>
      <c r="B3" s="3" t="inlineStr">
        <is>
          <t>Public Service Company of Oklahoma (PSO)</t>
        </is>
      </c>
      <c r="C3" s="3" t="inlineStr">
        <is>
          <t>OK</t>
        </is>
      </c>
      <c r="D3" s="3" t="inlineStr">
        <is>
          <t>Plains</t>
        </is>
      </c>
      <c r="E3" s="3" t="inlineStr">
        <is>
          <t>SPP</t>
        </is>
      </c>
      <c r="F3" s="3" t="inlineStr">
        <is>
          <t>Large Power &amp; Light (LPL)</t>
        </is>
      </c>
      <c r="G3" s="3" t="inlineStr">
        <is>
          <t>Schedule 242/244/246</t>
        </is>
      </c>
      <c r="H3" s="3" t="inlineStr">
        <is>
          <t>2025-01-30</t>
        </is>
      </c>
      <c r="I3" s="3" t="inlineStr">
        <is>
          <t>Active</t>
        </is>
      </c>
      <c r="J3" s="3" t="n">
        <v>1</v>
      </c>
      <c r="K3" s="3" t="n">
        <v>7.05</v>
      </c>
      <c r="L3" s="3" t="n">
        <v>2.47</v>
      </c>
      <c r="M3" s="3" t="n">
        <v>0.00171</v>
      </c>
      <c r="N3" s="3" t="n">
        <v>0.00125</v>
      </c>
      <c r="O3" s="3" t="n">
        <v>0.035</v>
      </c>
      <c r="P3" s="3" t="n">
        <v>7</v>
      </c>
      <c r="Q3" s="3" t="n">
        <v>90</v>
      </c>
      <c r="R3" s="3" t="inlineStr">
        <is>
          <t>Yes</t>
        </is>
      </c>
      <c r="S3" s="3" t="inlineStr">
        <is>
          <t>Yes</t>
        </is>
      </c>
      <c r="T3" s="3" t="inlineStr">
        <is>
          <t>No</t>
        </is>
      </c>
      <c r="U3" s="3" t="inlineStr">
        <is>
          <t>Yes</t>
        </is>
      </c>
      <c r="V3" s="3" t="inlineStr">
        <is>
          <t>Yes</t>
        </is>
      </c>
      <c r="W3" s="3" t="inlineStr">
        <is>
          <t>No</t>
        </is>
      </c>
      <c r="X3" s="3" t="inlineStr">
        <is>
          <t>Yes</t>
        </is>
      </c>
      <c r="Y3" s="4">
        <f>((K3*600000)+(L3*600000*0.5)+((M3+O3)*140160000)+((N3+O3)*210240000)+500)/350400000</f>
        <v/>
      </c>
      <c r="Z3" s="5">
        <f>(Y3*350400000*12)/1000000</f>
        <v/>
      </c>
      <c r="AA3" s="3">
        <f>IF(Q3&gt;=90,3,IF(Q3&gt;=80,2,IF(Q3&gt;=60,1,0)))+IF(P3&gt;=15,3,IF(P3&gt;=10,2,IF(P3&gt;=5,1,0)))+IF(S3="Yes",2,0)+IF(T3="Yes",2,0)+IF(U3="Yes",2,0)+IF(R3="Yes",1,0)+IF(V3="Yes",1,0)+IF(W3="Yes",2,0)+IF(X3="Yes",1,0)+IF(J3&gt;=50,1,0)</f>
        <v/>
      </c>
      <c r="AB3" s="3">
        <f>IF(AA3&gt;=14,"High",IF(AA3&gt;=8,"Mid","Low"))</f>
        <v/>
      </c>
      <c r="AC3" s="3" t="inlineStr">
        <is>
          <t>Base + Fuel Adj + SPP Trans</t>
        </is>
      </c>
      <c r="AD3" s="3" t="inlineStr">
        <is>
          <t>11 large load customers (779 MW)</t>
        </is>
      </c>
    </row>
    <row r="4">
      <c r="A4" s="3" t="n">
        <v>2</v>
      </c>
      <c r="B4" s="3" t="inlineStr">
        <is>
          <t>Oklahoma Gas &amp; Electric (OG&amp;E)</t>
        </is>
      </c>
      <c r="C4" s="3" t="inlineStr">
        <is>
          <t>OK</t>
        </is>
      </c>
      <c r="D4" s="3" t="inlineStr">
        <is>
          <t>Plains</t>
        </is>
      </c>
      <c r="E4" s="3" t="inlineStr">
        <is>
          <t>SPP</t>
        </is>
      </c>
      <c r="F4" s="3" t="inlineStr">
        <is>
          <t>Power &amp; Light Large</t>
        </is>
      </c>
      <c r="G4" s="3" t="inlineStr">
        <is>
          <t>Schedule PL-1</t>
        </is>
      </c>
      <c r="H4" s="3" t="inlineStr">
        <is>
          <t>2025-01-01</t>
        </is>
      </c>
      <c r="I4" s="3" t="inlineStr">
        <is>
          <t>Active</t>
        </is>
      </c>
      <c r="J4" s="3" t="n">
        <v>1</v>
      </c>
      <c r="K4" s="3" t="n">
        <v>7.08</v>
      </c>
      <c r="L4" s="3" t="n">
        <v>2.5</v>
      </c>
      <c r="M4" s="3" t="n">
        <v>0.007</v>
      </c>
      <c r="N4" s="3" t="n">
        <v>0.005</v>
      </c>
      <c r="O4" s="3" t="n">
        <v>0.038</v>
      </c>
      <c r="P4" s="3" t="n">
        <v>5</v>
      </c>
      <c r="Q4" s="3" t="n">
        <v>0</v>
      </c>
      <c r="R4" s="3" t="inlineStr">
        <is>
          <t>No</t>
        </is>
      </c>
      <c r="S4" s="3" t="inlineStr">
        <is>
          <t>Yes</t>
        </is>
      </c>
      <c r="T4" s="3" t="inlineStr">
        <is>
          <t>No</t>
        </is>
      </c>
      <c r="U4" s="3" t="inlineStr">
        <is>
          <t>No</t>
        </is>
      </c>
      <c r="V4" s="3" t="inlineStr">
        <is>
          <t>Yes</t>
        </is>
      </c>
      <c r="W4" s="3" t="inlineStr">
        <is>
          <t>No</t>
        </is>
      </c>
      <c r="X4" s="3" t="inlineStr">
        <is>
          <t>No</t>
        </is>
      </c>
      <c r="Y4" s="4">
        <f>((K4*600000)+(L4*600000*0.5)+((M4+O4)*140160000)+((N4+O4)*210240000)+500)/350400000</f>
        <v/>
      </c>
      <c r="Z4" s="5">
        <f>(Y4*350400000*12)/1000000</f>
        <v/>
      </c>
      <c r="AA4" s="3">
        <f>IF(Q4&gt;=90,3,IF(Q4&gt;=80,2,IF(Q4&gt;=60,1,0)))+IF(P4&gt;=15,3,IF(P4&gt;=10,2,IF(P4&gt;=5,1,0)))+IF(S4="Yes",2,0)+IF(T4="Yes",2,0)+IF(U4="Yes",2,0)+IF(R4="Yes",1,0)+IF(V4="Yes",1,0)+IF(W4="Yes",2,0)+IF(X4="Yes",1,0)+IF(J4&gt;=50,1,0)</f>
        <v/>
      </c>
      <c r="AB4" s="3">
        <f>IF(AA4&gt;=14,"High",IF(AA4&gt;=8,"Mid","Low"))</f>
        <v/>
      </c>
      <c r="AC4" s="3" t="inlineStr">
        <is>
          <t>Base + Fuel Cost Adj (FCA)</t>
        </is>
      </c>
      <c r="AD4" s="3" t="inlineStr">
        <is>
          <t>Large load tariff filing required by July 2026</t>
        </is>
      </c>
    </row>
    <row r="5">
      <c r="A5" s="3" t="n">
        <v>3</v>
      </c>
      <c r="B5" s="3" t="inlineStr">
        <is>
          <t>SWEPCO (AEP)</t>
        </is>
      </c>
      <c r="C5" s="3" t="inlineStr">
        <is>
          <t>TX/LA/AR</t>
        </is>
      </c>
      <c r="D5" s="3" t="inlineStr">
        <is>
          <t>Plains</t>
        </is>
      </c>
      <c r="E5" s="3" t="inlineStr">
        <is>
          <t>SPP</t>
        </is>
      </c>
      <c r="F5" s="3" t="inlineStr">
        <is>
          <t>Large Load Contract</t>
        </is>
      </c>
      <c r="G5" s="3" t="inlineStr">
        <is>
          <t>ES-LL Contract</t>
        </is>
      </c>
      <c r="H5" s="3" t="inlineStr">
        <is>
          <t>2025-10-01</t>
        </is>
      </c>
      <c r="I5" s="3" t="inlineStr">
        <is>
          <t>Active</t>
        </is>
      </c>
      <c r="J5" s="3" t="n">
        <v>75</v>
      </c>
      <c r="K5" s="3" t="n">
        <v>8.199999999999999</v>
      </c>
      <c r="L5" s="3" t="n">
        <v>3.1</v>
      </c>
      <c r="M5" s="3" t="n">
        <v>0.035</v>
      </c>
      <c r="N5" s="3" t="n">
        <v>0.025</v>
      </c>
      <c r="O5" s="3" t="n">
        <v>0.015</v>
      </c>
      <c r="P5" s="3" t="n">
        <v>12</v>
      </c>
      <c r="Q5" s="3" t="n">
        <v>80</v>
      </c>
      <c r="R5" s="3" t="inlineStr">
        <is>
          <t>Yes</t>
        </is>
      </c>
      <c r="S5" s="3" t="inlineStr">
        <is>
          <t>Yes</t>
        </is>
      </c>
      <c r="T5" s="3" t="inlineStr">
        <is>
          <t>Yes</t>
        </is>
      </c>
      <c r="U5" s="3" t="inlineStr">
        <is>
          <t>Yes</t>
        </is>
      </c>
      <c r="V5" s="3" t="inlineStr">
        <is>
          <t>Yes</t>
        </is>
      </c>
      <c r="W5" s="3" t="inlineStr">
        <is>
          <t>Yes</t>
        </is>
      </c>
      <c r="X5" s="3" t="inlineStr">
        <is>
          <t>Yes</t>
        </is>
      </c>
      <c r="Y5" s="4">
        <f>((K5*600000)+(L5*600000*0.5)+((M5+O5)*140160000)+((N5+O5)*210240000)+500)/350400000</f>
        <v/>
      </c>
      <c r="Z5" s="5">
        <f>(Y5*350400000*12)/1000000</f>
        <v/>
      </c>
      <c r="AA5" s="3">
        <f>IF(Q5&gt;=90,3,IF(Q5&gt;=80,2,IF(Q5&gt;=60,1,0)))+IF(P5&gt;=15,3,IF(P5&gt;=10,2,IF(P5&gt;=5,1,0)))+IF(S5="Yes",2,0)+IF(T5="Yes",2,0)+IF(U5="Yes",2,0)+IF(R5="Yes",1,0)+IF(V5="Yes",1,0)+IF(W5="Yes",2,0)+IF(X5="Yes",1,0)+IF(J5&gt;=50,1,0)</f>
        <v/>
      </c>
      <c r="AB5" s="3">
        <f>IF(AA5&gt;=14,"High",IF(AA5&gt;=8,"Mid","Low"))</f>
        <v/>
      </c>
      <c r="AC5" s="3" t="inlineStr">
        <is>
          <t>All-in Contract Rate</t>
        </is>
      </c>
      <c r="AD5" s="3" t="inlineStr">
        <is>
          <t>Large load contract</t>
        </is>
      </c>
    </row>
    <row r="6">
      <c r="A6" s="3" t="n">
        <v>4</v>
      </c>
      <c r="B6" s="3" t="inlineStr">
        <is>
          <t>ERCOT Market (via REP)</t>
        </is>
      </c>
      <c r="C6" s="3" t="inlineStr">
        <is>
          <t>TX</t>
        </is>
      </c>
      <c r="D6" s="3" t="inlineStr">
        <is>
          <t>Texas</t>
        </is>
      </c>
      <c r="E6" s="3" t="inlineStr">
        <is>
          <t>ERCOT</t>
        </is>
      </c>
      <c r="F6" s="3" t="inlineStr">
        <is>
          <t>4CP Transmission + REP Energy</t>
        </is>
      </c>
      <c r="G6" s="3" t="inlineStr">
        <is>
          <t>Market-Based</t>
        </is>
      </c>
      <c r="H6" s="3" t="inlineStr">
        <is>
          <t>2024-01-01</t>
        </is>
      </c>
      <c r="I6" s="3" t="inlineStr">
        <is>
          <t>Active</t>
        </is>
      </c>
      <c r="J6" s="3" t="n">
        <v>1</v>
      </c>
      <c r="K6" s="3" t="n">
        <v>5.5</v>
      </c>
      <c r="L6" s="3" t="n">
        <v>1.5</v>
      </c>
      <c r="M6" s="3" t="n">
        <v>0.045</v>
      </c>
      <c r="N6" s="3" t="n">
        <v>0.028</v>
      </c>
      <c r="O6" s="3" t="n">
        <v>0.015</v>
      </c>
      <c r="P6" s="3" t="n">
        <v>5</v>
      </c>
      <c r="Q6" s="3" t="n">
        <v>0</v>
      </c>
      <c r="R6" s="3" t="inlineStr">
        <is>
          <t>No</t>
        </is>
      </c>
      <c r="S6" s="3" t="inlineStr">
        <is>
          <t>Yes</t>
        </is>
      </c>
      <c r="T6" s="3" t="inlineStr">
        <is>
          <t>No</t>
        </is>
      </c>
      <c r="U6" s="3" t="inlineStr">
        <is>
          <t>No</t>
        </is>
      </c>
      <c r="V6" s="3" t="inlineStr">
        <is>
          <t>Yes</t>
        </is>
      </c>
      <c r="W6" s="3" t="inlineStr">
        <is>
          <t>Yes</t>
        </is>
      </c>
      <c r="X6" s="3" t="inlineStr">
        <is>
          <t>Yes</t>
        </is>
      </c>
      <c r="Y6" s="4">
        <f>((K6*600000)+(L6*600000*0.5)+((M6+O6)*140160000)+((N6+O6)*210240000)+500)/350400000</f>
        <v/>
      </c>
      <c r="Z6" s="5">
        <f>(Y6*350400000*12)/1000000</f>
        <v/>
      </c>
      <c r="AA6" s="3">
        <f>IF(Q6&gt;=90,3,IF(Q6&gt;=80,2,IF(Q6&gt;=60,1,0)))+IF(P6&gt;=15,3,IF(P6&gt;=10,2,IF(P6&gt;=5,1,0)))+IF(S6="Yes",2,0)+IF(T6="Yes",2,0)+IF(U6="Yes",2,0)+IF(R6="Yes",1,0)+IF(V6="Yes",1,0)+IF(W6="Yes",2,0)+IF(X6="Yes",1,0)+IF(J6&gt;=50,1,0)</f>
        <v/>
      </c>
      <c r="AB6" s="3">
        <f>IF(AA6&gt;=14,"High",IF(AA6&gt;=8,"Mid","Low"))</f>
        <v/>
      </c>
      <c r="AC6" s="3" t="inlineStr">
        <is>
          <t>TDU + REP Energy + Ancillary</t>
        </is>
      </c>
      <c r="AD6" s="3" t="inlineStr">
        <is>
          <t>Grid operator not retailer; 200+ GW in queue</t>
        </is>
      </c>
    </row>
    <row r="7">
      <c r="A7" s="3" t="n">
        <v>5</v>
      </c>
      <c r="B7" s="3" t="inlineStr">
        <is>
          <t>Oncor Electric Delivery</t>
        </is>
      </c>
      <c r="C7" s="3" t="inlineStr">
        <is>
          <t>TX</t>
        </is>
      </c>
      <c r="D7" s="3" t="inlineStr">
        <is>
          <t>Texas</t>
        </is>
      </c>
      <c r="E7" s="3" t="inlineStr">
        <is>
          <t>ERCOT</t>
        </is>
      </c>
      <c r="F7" s="3" t="inlineStr">
        <is>
          <t>Large Load Delivery + REP</t>
        </is>
      </c>
      <c r="G7" s="3" t="inlineStr">
        <is>
          <t>TDU 1700 + REP</t>
        </is>
      </c>
      <c r="H7" s="3" t="inlineStr">
        <is>
          <t>2025-01-01</t>
        </is>
      </c>
      <c r="I7" s="3" t="inlineStr">
        <is>
          <t>Active</t>
        </is>
      </c>
      <c r="J7" s="3" t="n">
        <v>1</v>
      </c>
      <c r="K7" s="3" t="n">
        <v>8.5</v>
      </c>
      <c r="L7" s="3" t="n">
        <v>3.2</v>
      </c>
      <c r="M7" s="3" t="n">
        <v>0.042</v>
      </c>
      <c r="N7" s="3" t="n">
        <v>0.028</v>
      </c>
      <c r="O7" s="3" t="n">
        <v>0.012</v>
      </c>
      <c r="P7" s="3" t="n">
        <v>5</v>
      </c>
      <c r="Q7" s="3" t="n">
        <v>0</v>
      </c>
      <c r="R7" s="3" t="inlineStr">
        <is>
          <t>No</t>
        </is>
      </c>
      <c r="S7" s="3" t="inlineStr">
        <is>
          <t>Yes</t>
        </is>
      </c>
      <c r="T7" s="3" t="inlineStr">
        <is>
          <t>No</t>
        </is>
      </c>
      <c r="U7" s="3" t="inlineStr">
        <is>
          <t>No</t>
        </is>
      </c>
      <c r="V7" s="3" t="inlineStr">
        <is>
          <t>Yes</t>
        </is>
      </c>
      <c r="W7" s="3" t="inlineStr">
        <is>
          <t>No</t>
        </is>
      </c>
      <c r="X7" s="3" t="inlineStr">
        <is>
          <t>No</t>
        </is>
      </c>
      <c r="Y7" s="4">
        <f>((K7*600000)+(L7*600000*0.5)+((M7+O7)*140160000)+((N7+O7)*210240000)+500)/350400000</f>
        <v/>
      </c>
      <c r="Z7" s="5">
        <f>(Y7*350400000*12)/1000000</f>
        <v/>
      </c>
      <c r="AA7" s="3">
        <f>IF(Q7&gt;=90,3,IF(Q7&gt;=80,2,IF(Q7&gt;=60,1,0)))+IF(P7&gt;=15,3,IF(P7&gt;=10,2,IF(P7&gt;=5,1,0)))+IF(S7="Yes",2,0)+IF(T7="Yes",2,0)+IF(U7="Yes",2,0)+IF(R7="Yes",1,0)+IF(V7="Yes",1,0)+IF(W7="Yes",2,0)+IF(X7="Yes",1,0)+IF(J7&gt;=50,1,0)</f>
        <v/>
      </c>
      <c r="AB7" s="3">
        <f>IF(AA7&gt;=14,"High",IF(AA7&gt;=8,"Mid","Low"))</f>
        <v/>
      </c>
      <c r="AC7" s="3" t="inlineStr">
        <is>
          <t>TDU Delivery + REP Energy + Ancillary</t>
        </is>
      </c>
      <c r="AD7" s="3" t="inlineStr">
        <is>
          <t>TDU-only + REP energy charges</t>
        </is>
      </c>
    </row>
    <row r="8">
      <c r="A8" s="3" t="n">
        <v>6</v>
      </c>
      <c r="B8" s="3" t="inlineStr">
        <is>
          <t>CenterPoint Energy Houston</t>
        </is>
      </c>
      <c r="C8" s="3" t="inlineStr">
        <is>
          <t>TX</t>
        </is>
      </c>
      <c r="D8" s="3" t="inlineStr">
        <is>
          <t>Texas</t>
        </is>
      </c>
      <c r="E8" s="3" t="inlineStr">
        <is>
          <t>ERCOT</t>
        </is>
      </c>
      <c r="F8" s="3" t="inlineStr">
        <is>
          <t>Large Volume + REP</t>
        </is>
      </c>
      <c r="G8" s="3" t="inlineStr">
        <is>
          <t>GSLV-630 + REP</t>
        </is>
      </c>
      <c r="H8" s="3" t="inlineStr">
        <is>
          <t>2025-03-01</t>
        </is>
      </c>
      <c r="I8" s="3" t="inlineStr">
        <is>
          <t>Active</t>
        </is>
      </c>
      <c r="J8" s="3" t="n">
        <v>1</v>
      </c>
      <c r="K8" s="3" t="n">
        <v>8.800000000000001</v>
      </c>
      <c r="L8" s="3" t="n">
        <v>3.5</v>
      </c>
      <c r="M8" s="3" t="n">
        <v>0.04</v>
      </c>
      <c r="N8" s="3" t="n">
        <v>0.028</v>
      </c>
      <c r="O8" s="3" t="n">
        <v>0.012</v>
      </c>
      <c r="P8" s="3" t="n">
        <v>5</v>
      </c>
      <c r="Q8" s="3" t="n">
        <v>0</v>
      </c>
      <c r="R8" s="3" t="inlineStr">
        <is>
          <t>No</t>
        </is>
      </c>
      <c r="S8" s="3" t="inlineStr">
        <is>
          <t>Yes</t>
        </is>
      </c>
      <c r="T8" s="3" t="inlineStr">
        <is>
          <t>No</t>
        </is>
      </c>
      <c r="U8" s="3" t="inlineStr">
        <is>
          <t>No</t>
        </is>
      </c>
      <c r="V8" s="3" t="inlineStr">
        <is>
          <t>Yes</t>
        </is>
      </c>
      <c r="W8" s="3" t="inlineStr">
        <is>
          <t>No</t>
        </is>
      </c>
      <c r="X8" s="3" t="inlineStr">
        <is>
          <t>No</t>
        </is>
      </c>
      <c r="Y8" s="4">
        <f>((K8*600000)+(L8*600000*0.5)+((M8+O8)*140160000)+((N8+O8)*210240000)+500)/350400000</f>
        <v/>
      </c>
      <c r="Z8" s="5">
        <f>(Y8*350400000*12)/1000000</f>
        <v/>
      </c>
      <c r="AA8" s="3">
        <f>IF(Q8&gt;=90,3,IF(Q8&gt;=80,2,IF(Q8&gt;=60,1,0)))+IF(P8&gt;=15,3,IF(P8&gt;=10,2,IF(P8&gt;=5,1,0)))+IF(S8="Yes",2,0)+IF(T8="Yes",2,0)+IF(U8="Yes",2,0)+IF(R8="Yes",1,0)+IF(V8="Yes",1,0)+IF(W8="Yes",2,0)+IF(X8="Yes",1,0)+IF(J8&gt;=50,1,0)</f>
        <v/>
      </c>
      <c r="AB8" s="3">
        <f>IF(AA8&gt;=14,"High",IF(AA8&gt;=8,"Mid","Low"))</f>
        <v/>
      </c>
      <c r="AC8" s="3" t="inlineStr">
        <is>
          <t>TDU Delivery + REP Energy + Ancillary</t>
        </is>
      </c>
      <c r="AD8" s="3" t="inlineStr">
        <is>
          <t>Houston metro</t>
        </is>
      </c>
    </row>
    <row r="9">
      <c r="A9" s="3" t="n">
        <v>7</v>
      </c>
      <c r="B9" s="3" t="inlineStr">
        <is>
          <t>CPS Energy (San Antonio)</t>
        </is>
      </c>
      <c r="C9" s="3" t="inlineStr">
        <is>
          <t>TX</t>
        </is>
      </c>
      <c r="D9" s="3" t="inlineStr">
        <is>
          <t>Texas</t>
        </is>
      </c>
      <c r="E9" s="3" t="inlineStr">
        <is>
          <t>ERCOT</t>
        </is>
      </c>
      <c r="F9" s="3" t="inlineStr">
        <is>
          <t>Large Commercial Industrial</t>
        </is>
      </c>
      <c r="G9" s="3" t="inlineStr">
        <is>
          <t>Rate E LCI</t>
        </is>
      </c>
      <c r="H9" s="3" t="inlineStr">
        <is>
          <t>2025-02-01</t>
        </is>
      </c>
      <c r="I9" s="3" t="inlineStr">
        <is>
          <t>Active</t>
        </is>
      </c>
      <c r="J9" s="3" t="n">
        <v>1</v>
      </c>
      <c r="K9" s="3" t="n">
        <v>9.199999999999999</v>
      </c>
      <c r="L9" s="3" t="n">
        <v>3.8</v>
      </c>
      <c r="M9" s="3" t="n">
        <v>0.045</v>
      </c>
      <c r="N9" s="3" t="n">
        <v>0.032</v>
      </c>
      <c r="O9" s="3" t="n">
        <v>0.015</v>
      </c>
      <c r="P9" s="3" t="n">
        <v>5</v>
      </c>
      <c r="Q9" s="3" t="n">
        <v>0</v>
      </c>
      <c r="R9" s="3" t="inlineStr">
        <is>
          <t>Yes</t>
        </is>
      </c>
      <c r="S9" s="3" t="inlineStr">
        <is>
          <t>Yes</t>
        </is>
      </c>
      <c r="T9" s="3" t="inlineStr">
        <is>
          <t>No</t>
        </is>
      </c>
      <c r="U9" s="3" t="inlineStr">
        <is>
          <t>No</t>
        </is>
      </c>
      <c r="V9" s="3" t="inlineStr">
        <is>
          <t>Yes</t>
        </is>
      </c>
      <c r="W9" s="3" t="inlineStr">
        <is>
          <t>No</t>
        </is>
      </c>
      <c r="X9" s="3" t="inlineStr">
        <is>
          <t>No</t>
        </is>
      </c>
      <c r="Y9" s="4">
        <f>((K9*600000)+(L9*600000*0.5)+((M9+O9)*140160000)+((N9+O9)*210240000)+500)/350400000</f>
        <v/>
      </c>
      <c r="Z9" s="5">
        <f>(Y9*350400000*12)/1000000</f>
        <v/>
      </c>
      <c r="AA9" s="3">
        <f>IF(Q9&gt;=90,3,IF(Q9&gt;=80,2,IF(Q9&gt;=60,1,0)))+IF(P9&gt;=15,3,IF(P9&gt;=10,2,IF(P9&gt;=5,1,0)))+IF(S9="Yes",2,0)+IF(T9="Yes",2,0)+IF(U9="Yes",2,0)+IF(R9="Yes",1,0)+IF(V9="Yes",1,0)+IF(W9="Yes",2,0)+IF(X9="Yes",1,0)+IF(J9&gt;=50,1,0)</f>
        <v/>
      </c>
      <c r="AB9" s="3">
        <f>IF(AA9&gt;=14,"High",IF(AA9&gt;=8,"Mid","Low"))</f>
        <v/>
      </c>
      <c r="AC9" s="3" t="inlineStr">
        <is>
          <t>Base + Fuel Adj</t>
        </is>
      </c>
      <c r="AD9" s="3" t="inlineStr">
        <is>
          <t>Municipal utility</t>
        </is>
      </c>
    </row>
    <row r="10">
      <c r="A10" s="3" t="n">
        <v>8</v>
      </c>
      <c r="B10" s="3" t="inlineStr">
        <is>
          <t>Austin Energy</t>
        </is>
      </c>
      <c r="C10" s="3" t="inlineStr">
        <is>
          <t>TX</t>
        </is>
      </c>
      <c r="D10" s="3" t="inlineStr">
        <is>
          <t>Texas</t>
        </is>
      </c>
      <c r="E10" s="3" t="inlineStr">
        <is>
          <t>ERCOT</t>
        </is>
      </c>
      <c r="F10" s="3" t="inlineStr">
        <is>
          <t>Large Industrial Service</t>
        </is>
      </c>
      <c r="G10" s="3" t="inlineStr">
        <is>
          <t>Rate P4</t>
        </is>
      </c>
      <c r="H10" s="3" t="inlineStr">
        <is>
          <t>2025-01-01</t>
        </is>
      </c>
      <c r="I10" s="3" t="inlineStr">
        <is>
          <t>Active</t>
        </is>
      </c>
      <c r="J10" s="3" t="n">
        <v>0.3</v>
      </c>
      <c r="K10" s="3" t="n">
        <v>10.5</v>
      </c>
      <c r="L10" s="3" t="n">
        <v>4.2</v>
      </c>
      <c r="M10" s="3" t="n">
        <v>0.055</v>
      </c>
      <c r="N10" s="3" t="n">
        <v>0.038</v>
      </c>
      <c r="O10" s="3" t="n">
        <v>0.012</v>
      </c>
      <c r="P10" s="3" t="n">
        <v>5</v>
      </c>
      <c r="Q10" s="3" t="n">
        <v>0</v>
      </c>
      <c r="R10" s="3" t="inlineStr">
        <is>
          <t>Yes</t>
        </is>
      </c>
      <c r="S10" s="3" t="inlineStr">
        <is>
          <t>Yes</t>
        </is>
      </c>
      <c r="T10" s="3" t="inlineStr">
        <is>
          <t>No</t>
        </is>
      </c>
      <c r="U10" s="3" t="inlineStr">
        <is>
          <t>No</t>
        </is>
      </c>
      <c r="V10" s="3" t="inlineStr">
        <is>
          <t>Yes</t>
        </is>
      </c>
      <c r="W10" s="3" t="inlineStr">
        <is>
          <t>No</t>
        </is>
      </c>
      <c r="X10" s="3" t="inlineStr">
        <is>
          <t>No</t>
        </is>
      </c>
      <c r="Y10" s="4">
        <f>((K10*600000)+(L10*600000*0.5)+((M10+O10)*140160000)+((N10+O10)*210240000)+500)/350400000</f>
        <v/>
      </c>
      <c r="Z10" s="5">
        <f>(Y10*350400000*12)/1000000</f>
        <v/>
      </c>
      <c r="AA10" s="3">
        <f>IF(Q10&gt;=90,3,IF(Q10&gt;=80,2,IF(Q10&gt;=60,1,0)))+IF(P10&gt;=15,3,IF(P10&gt;=10,2,IF(P10&gt;=5,1,0)))+IF(S10="Yes",2,0)+IF(T10="Yes",2,0)+IF(U10="Yes",2,0)+IF(R10="Yes",1,0)+IF(V10="Yes",1,0)+IF(W10="Yes",2,0)+IF(X10="Yes",1,0)+IF(J10&gt;=50,1,0)</f>
        <v/>
      </c>
      <c r="AB10" s="3">
        <f>IF(AA10&gt;=14,"High",IF(AA10&gt;=8,"Mid","Low"))</f>
        <v/>
      </c>
      <c r="AC10" s="3" t="inlineStr">
        <is>
          <t>Base + PSA + Community Benefit</t>
        </is>
      </c>
      <c r="AD10" s="3" t="inlineStr">
        <is>
          <t>Municipal; high renewable portfolio</t>
        </is>
      </c>
    </row>
    <row r="11">
      <c r="A11" s="3" t="n">
        <v>9</v>
      </c>
      <c r="B11" s="3" t="inlineStr">
        <is>
          <t>Georgia Power</t>
        </is>
      </c>
      <c r="C11" s="3" t="inlineStr">
        <is>
          <t>GA</t>
        </is>
      </c>
      <c r="D11" s="3" t="inlineStr">
        <is>
          <t>Southeast</t>
        </is>
      </c>
      <c r="E11" s="3" t="inlineStr">
        <is>
          <t>None</t>
        </is>
      </c>
      <c r="F11" s="3" t="inlineStr">
        <is>
          <t>Power and Light Large</t>
        </is>
      </c>
      <c r="G11" s="3" t="inlineStr">
        <is>
          <t>Schedule PLL-11</t>
        </is>
      </c>
      <c r="H11" s="3" t="inlineStr">
        <is>
          <t>2025-01-01</t>
        </is>
      </c>
      <c r="I11" s="3" t="inlineStr">
        <is>
          <t>Active</t>
        </is>
      </c>
      <c r="J11" s="3" t="n">
        <v>0.5</v>
      </c>
      <c r="K11" s="3" t="n">
        <v>9.529999999999999</v>
      </c>
      <c r="L11" s="3" t="n">
        <v>4.2</v>
      </c>
      <c r="M11" s="3" t="n">
        <v>0.0143</v>
      </c>
      <c r="N11" s="3" t="n">
        <v>0.0095</v>
      </c>
      <c r="O11" s="3" t="n">
        <v>0.032</v>
      </c>
      <c r="P11" s="3" t="n">
        <v>10</v>
      </c>
      <c r="Q11" s="3" t="n">
        <v>95</v>
      </c>
      <c r="R11" s="3" t="inlineStr">
        <is>
          <t>Yes</t>
        </is>
      </c>
      <c r="S11" s="3" t="inlineStr">
        <is>
          <t>Yes</t>
        </is>
      </c>
      <c r="T11" s="3" t="inlineStr">
        <is>
          <t>Yes</t>
        </is>
      </c>
      <c r="U11" s="3" t="inlineStr">
        <is>
          <t>Yes</t>
        </is>
      </c>
      <c r="V11" s="3" t="inlineStr">
        <is>
          <t>Yes</t>
        </is>
      </c>
      <c r="W11" s="3" t="inlineStr">
        <is>
          <t>No</t>
        </is>
      </c>
      <c r="X11" s="3" t="inlineStr">
        <is>
          <t>Yes</t>
        </is>
      </c>
      <c r="Y11" s="4">
        <f>((K11*600000)+(L11*600000*0.5)+((M11+O11)*140160000)+((N11+O11)*210240000)+500)/350400000</f>
        <v/>
      </c>
      <c r="Z11" s="5">
        <f>(Y11*350400000*12)/1000000</f>
        <v/>
      </c>
      <c r="AA11" s="3">
        <f>IF(Q11&gt;=90,3,IF(Q11&gt;=80,2,IF(Q11&gt;=60,1,0)))+IF(P11&gt;=15,3,IF(P11&gt;=10,2,IF(P11&gt;=5,1,0)))+IF(S11="Yes",2,0)+IF(T11="Yes",2,0)+IF(U11="Yes",2,0)+IF(R11="Yes",1,0)+IF(V11="Yes",1,0)+IF(W11="Yes",2,0)+IF(X11="Yes",1,0)+IF(J11&gt;=50,1,0)</f>
        <v/>
      </c>
      <c r="AB11" s="3">
        <f>IF(AA11&gt;=14,"High",IF(AA11&gt;=8,"Mid","Low"))</f>
        <v/>
      </c>
      <c r="AC11" s="3" t="inlineStr">
        <is>
          <t>Base + ECCR (13.4%) + Fuel Clause</t>
        </is>
      </c>
      <c r="AD11" s="3" t="inlineStr">
        <is>
          <t>51 GW in queue; ECCR adds ~13.4%</t>
        </is>
      </c>
    </row>
    <row r="12">
      <c r="A12" s="3" t="n">
        <v>10</v>
      </c>
      <c r="B12" s="3" t="inlineStr">
        <is>
          <t>Duke Energy Carolinas</t>
        </is>
      </c>
      <c r="C12" s="3" t="inlineStr">
        <is>
          <t>NC</t>
        </is>
      </c>
      <c r="D12" s="3" t="inlineStr">
        <is>
          <t>Southeast</t>
        </is>
      </c>
      <c r="E12" s="3" t="inlineStr">
        <is>
          <t>None</t>
        </is>
      </c>
      <c r="F12" s="3" t="inlineStr">
        <is>
          <t>Large General Service</t>
        </is>
      </c>
      <c r="G12" s="3" t="inlineStr">
        <is>
          <t>Schedule LGS</t>
        </is>
      </c>
      <c r="H12" s="3" t="inlineStr">
        <is>
          <t>2024-09-01</t>
        </is>
      </c>
      <c r="I12" s="3" t="inlineStr">
        <is>
          <t>Active</t>
        </is>
      </c>
      <c r="J12" s="3" t="n">
        <v>1</v>
      </c>
      <c r="K12" s="3" t="n">
        <v>5.2</v>
      </c>
      <c r="L12" s="3" t="n">
        <v>3.5</v>
      </c>
      <c r="M12" s="3" t="n">
        <v>0.035</v>
      </c>
      <c r="N12" s="3" t="n">
        <v>0.028</v>
      </c>
      <c r="O12" s="3" t="n">
        <v>0.018</v>
      </c>
      <c r="P12" s="3" t="n">
        <v>5</v>
      </c>
      <c r="Q12" s="3" t="n">
        <v>70</v>
      </c>
      <c r="R12" s="3" t="inlineStr">
        <is>
          <t>Yes</t>
        </is>
      </c>
      <c r="S12" s="3" t="inlineStr">
        <is>
          <t>Yes</t>
        </is>
      </c>
      <c r="T12" s="3" t="inlineStr">
        <is>
          <t>No</t>
        </is>
      </c>
      <c r="U12" s="3" t="inlineStr">
        <is>
          <t>No</t>
        </is>
      </c>
      <c r="V12" s="3" t="inlineStr">
        <is>
          <t>Yes</t>
        </is>
      </c>
      <c r="W12" s="3" t="inlineStr">
        <is>
          <t>No</t>
        </is>
      </c>
      <c r="X12" s="3" t="inlineStr">
        <is>
          <t>No</t>
        </is>
      </c>
      <c r="Y12" s="4">
        <f>((K12*600000)+(L12*600000*0.5)+((M12+O12)*140160000)+((N12+O12)*210240000)+500)/350400000</f>
        <v/>
      </c>
      <c r="Z12" s="5">
        <f>(Y12*350400000*12)/1000000</f>
        <v/>
      </c>
      <c r="AA12" s="3">
        <f>IF(Q12&gt;=90,3,IF(Q12&gt;=80,2,IF(Q12&gt;=60,1,0)))+IF(P12&gt;=15,3,IF(P12&gt;=10,2,IF(P12&gt;=5,1,0)))+IF(S12="Yes",2,0)+IF(T12="Yes",2,0)+IF(U12="Yes",2,0)+IF(R12="Yes",1,0)+IF(V12="Yes",1,0)+IF(W12="Yes",2,0)+IF(X12="Yes",1,0)+IF(J12&gt;=50,1,0)</f>
        <v/>
      </c>
      <c r="AB12" s="3">
        <f>IF(AA12&gt;=14,"High",IF(AA12&gt;=8,"Mid","Low"))</f>
        <v/>
      </c>
      <c r="AC12" s="3" t="inlineStr">
        <is>
          <t>Base + Fuel Rider</t>
        </is>
      </c>
      <c r="AD12" s="3" t="inlineStr">
        <is>
          <t>42 GW in NC queue</t>
        </is>
      </c>
    </row>
    <row r="13">
      <c r="A13" s="3" t="n">
        <v>11</v>
      </c>
      <c r="B13" s="3" t="inlineStr">
        <is>
          <t>Duke Energy Florida</t>
        </is>
      </c>
      <c r="C13" s="3" t="inlineStr">
        <is>
          <t>FL</t>
        </is>
      </c>
      <c r="D13" s="3" t="inlineStr">
        <is>
          <t>Southeast</t>
        </is>
      </c>
      <c r="E13" s="3" t="inlineStr">
        <is>
          <t>None</t>
        </is>
      </c>
      <c r="F13" s="3" t="inlineStr">
        <is>
          <t>Large Load Customer</t>
        </is>
      </c>
      <c r="G13" s="3" t="inlineStr">
        <is>
          <t>Schedule LLC-1 (Proposed)</t>
        </is>
      </c>
      <c r="H13" s="3" t="inlineStr">
        <is>
          <t>TBD</t>
        </is>
      </c>
      <c r="I13" s="3" t="inlineStr">
        <is>
          <t>Suspended / Hearing Pending</t>
        </is>
      </c>
      <c r="J13" s="3" t="n">
        <v>50</v>
      </c>
      <c r="K13" s="3" t="n">
        <v>7.73</v>
      </c>
      <c r="L13" s="3" t="n">
        <v>2.71</v>
      </c>
      <c r="M13" s="3" t="n">
        <v>0.04</v>
      </c>
      <c r="N13" s="3" t="n">
        <v>0.028</v>
      </c>
      <c r="O13" s="3" t="n">
        <v>0.025</v>
      </c>
      <c r="P13" s="3" t="n">
        <v>12</v>
      </c>
      <c r="Q13" s="3" t="n">
        <v>80</v>
      </c>
      <c r="R13" s="3" t="inlineStr">
        <is>
          <t>Yes</t>
        </is>
      </c>
      <c r="S13" s="3" t="inlineStr">
        <is>
          <t>Yes</t>
        </is>
      </c>
      <c r="T13" s="3" t="inlineStr">
        <is>
          <t>Yes</t>
        </is>
      </c>
      <c r="U13" s="3" t="inlineStr">
        <is>
          <t>Yes</t>
        </is>
      </c>
      <c r="V13" s="3" t="inlineStr">
        <is>
          <t>Yes</t>
        </is>
      </c>
      <c r="W13" s="3" t="inlineStr">
        <is>
          <t>Yes</t>
        </is>
      </c>
      <c r="X13" s="3" t="inlineStr">
        <is>
          <t>Yes</t>
        </is>
      </c>
      <c r="Y13" s="4">
        <f>((K13*600000)+(L13*600000*0.5)+((M13+O13)*140160000)+((N13+O13)*210240000)+500)/350400000</f>
        <v/>
      </c>
      <c r="Z13" s="5">
        <f>(Y13*350400000*12)/1000000</f>
        <v/>
      </c>
      <c r="AA13" s="3">
        <f>IF(Q13&gt;=90,3,IF(Q13&gt;=80,2,IF(Q13&gt;=60,1,0)))+IF(P13&gt;=15,3,IF(P13&gt;=10,2,IF(P13&gt;=5,1,0)))+IF(S13="Yes",2,0)+IF(T13="Yes",2,0)+IF(U13="Yes",2,0)+IF(R13="Yes",1,0)+IF(V13="Yes",1,0)+IF(W13="Yes",2,0)+IF(X13="Yes",1,0)+IF(J13&gt;=50,1,0)</f>
        <v/>
      </c>
      <c r="AB13" s="3">
        <f>IF(AA13&gt;=14,"High",IF(AA13&gt;=8,"Mid","Low"))</f>
        <v/>
      </c>
      <c r="AC13" s="3" t="inlineStr">
        <is>
          <t>Base + Fuel Clause (Incremental)</t>
        </is>
      </c>
      <c r="AD13" s="3" t="inlineStr">
        <is>
          <t>SUSPENDED: Docket 20250113-EI suspended Oct 2025. Final hearing scheduled April 2026. Rates are HYPOTHETICAL until approval.</t>
        </is>
      </c>
    </row>
    <row r="14">
      <c r="A14" s="3" t="n">
        <v>12</v>
      </c>
      <c r="B14" s="3" t="inlineStr">
        <is>
          <t>Florida Power &amp; Light (FPL)</t>
        </is>
      </c>
      <c r="C14" s="3" t="inlineStr">
        <is>
          <t>FL</t>
        </is>
      </c>
      <c r="D14" s="3" t="inlineStr">
        <is>
          <t>Southeast</t>
        </is>
      </c>
      <c r="E14" s="3" t="inlineStr">
        <is>
          <t>None</t>
        </is>
      </c>
      <c r="F14" s="3" t="inlineStr">
        <is>
          <t>Large Load Contract Service</t>
        </is>
      </c>
      <c r="G14" s="3" t="inlineStr">
        <is>
          <t>Schedule LLCS-1 (Approved)</t>
        </is>
      </c>
      <c r="H14" s="3" t="inlineStr">
        <is>
          <t>2026-01-01</t>
        </is>
      </c>
      <c r="I14" s="3" t="inlineStr">
        <is>
          <t>Active</t>
        </is>
      </c>
      <c r="J14" s="3" t="n">
        <v>50</v>
      </c>
      <c r="K14" s="3" t="n">
        <v>35.08</v>
      </c>
      <c r="L14" s="3" t="n">
        <v>14.04</v>
      </c>
      <c r="M14" s="3" t="n">
        <v>0.08500000000000001</v>
      </c>
      <c r="N14" s="3" t="n">
        <v>0.055</v>
      </c>
      <c r="O14" s="3" t="n">
        <v>0.015</v>
      </c>
      <c r="P14" s="3" t="n">
        <v>20</v>
      </c>
      <c r="Q14" s="3" t="n">
        <v>90</v>
      </c>
      <c r="R14" s="3" t="inlineStr">
        <is>
          <t>Yes</t>
        </is>
      </c>
      <c r="S14" s="3" t="inlineStr">
        <is>
          <t>Yes</t>
        </is>
      </c>
      <c r="T14" s="3" t="inlineStr">
        <is>
          <t>Yes</t>
        </is>
      </c>
      <c r="U14" s="3" t="inlineStr">
        <is>
          <t>Yes</t>
        </is>
      </c>
      <c r="V14" s="3" t="inlineStr">
        <is>
          <t>Yes</t>
        </is>
      </c>
      <c r="W14" s="3" t="inlineStr">
        <is>
          <t>Yes</t>
        </is>
      </c>
      <c r="X14" s="3" t="inlineStr">
        <is>
          <t>Yes</t>
        </is>
      </c>
      <c r="Y14" s="4">
        <f>((K14*600000)+(L14*600000*0.5)+((M14+O14)*140160000)+((N14+O14)*210240000)+500)/350400000</f>
        <v/>
      </c>
      <c r="Z14" s="5">
        <f>(Y14*350400000*12)/1000000</f>
        <v/>
      </c>
      <c r="AA14" s="3">
        <f>IF(Q14&gt;=90,3,IF(Q14&gt;=80,2,IF(Q14&gt;=60,1,0)))+IF(P14&gt;=15,3,IF(P14&gt;=10,2,IF(P14&gt;=5,1,0)))+IF(S14="Yes",2,0)+IF(T14="Yes",2,0)+IF(U14="Yes",2,0)+IF(R14="Yes",1,0)+IF(V14="Yes",1,0)+IF(W14="Yes",2,0)+IF(X14="Yes",1,0)+IF(J14&gt;=50,1,0)</f>
        <v/>
      </c>
      <c r="AB14" s="3">
        <f>IF(AA14&gt;=14,"High",IF(AA14&gt;=8,"Mid","Low"))</f>
        <v/>
      </c>
      <c r="AC14" s="3" t="inlineStr">
        <is>
          <t>Incremental Generation + Fuel</t>
        </is>
      </c>
      <c r="AD14" s="3" t="inlineStr">
        <is>
          <t>APPROVED: Includes Incremental Generation Charge (IGC) $28.07/kW + Base $7.01/kW. Marginal cost tariff - highest Southeast rate.</t>
        </is>
      </c>
    </row>
    <row r="15">
      <c r="A15" s="3" t="n">
        <v>13</v>
      </c>
      <c r="B15" s="3" t="inlineStr">
        <is>
          <t>Alabama Power</t>
        </is>
      </c>
      <c r="C15" s="3" t="inlineStr">
        <is>
          <t>AL</t>
        </is>
      </c>
      <c r="D15" s="3" t="inlineStr">
        <is>
          <t>Southeast</t>
        </is>
      </c>
      <c r="E15" s="3" t="inlineStr">
        <is>
          <t>None</t>
        </is>
      </c>
      <c r="F15" s="3" t="inlineStr">
        <is>
          <t>Light and Power Service - Large</t>
        </is>
      </c>
      <c r="G15" s="3" t="inlineStr">
        <is>
          <t>Rate LPL</t>
        </is>
      </c>
      <c r="H15" s="3" t="inlineStr">
        <is>
          <t>2023-06-01</t>
        </is>
      </c>
      <c r="I15" s="3" t="inlineStr">
        <is>
          <t>Active</t>
        </is>
      </c>
      <c r="J15" s="3" t="n">
        <v>1</v>
      </c>
      <c r="K15" s="3" t="n">
        <v>12.5</v>
      </c>
      <c r="L15" s="3" t="n">
        <v>4.8</v>
      </c>
      <c r="M15" s="3" t="n">
        <v>0.028</v>
      </c>
      <c r="N15" s="3" t="n">
        <v>0.02</v>
      </c>
      <c r="O15" s="3" t="n">
        <v>0.022</v>
      </c>
      <c r="P15" s="3" t="n">
        <v>5</v>
      </c>
      <c r="Q15" s="3" t="n">
        <v>60</v>
      </c>
      <c r="R15" s="3" t="inlineStr">
        <is>
          <t>Yes</t>
        </is>
      </c>
      <c r="S15" s="3" t="inlineStr">
        <is>
          <t>Yes</t>
        </is>
      </c>
      <c r="T15" s="3" t="inlineStr">
        <is>
          <t>No</t>
        </is>
      </c>
      <c r="U15" s="3" t="inlineStr">
        <is>
          <t>No</t>
        </is>
      </c>
      <c r="V15" s="3" t="inlineStr">
        <is>
          <t>Yes</t>
        </is>
      </c>
      <c r="W15" s="3" t="inlineStr">
        <is>
          <t>No</t>
        </is>
      </c>
      <c r="X15" s="3" t="inlineStr">
        <is>
          <t>No</t>
        </is>
      </c>
      <c r="Y15" s="4">
        <f>((K15*600000)+(L15*600000*0.5)+((M15+O15)*140160000)+((N15+O15)*210240000)+500)/350400000</f>
        <v/>
      </c>
      <c r="Z15" s="5">
        <f>(Y15*350400000*12)/1000000</f>
        <v/>
      </c>
      <c r="AA15" s="3">
        <f>IF(Q15&gt;=90,3,IF(Q15&gt;=80,2,IF(Q15&gt;=60,1,0)))+IF(P15&gt;=15,3,IF(P15&gt;=10,2,IF(P15&gt;=5,1,0)))+IF(S15="Yes",2,0)+IF(T15="Yes",2,0)+IF(U15="Yes",2,0)+IF(R15="Yes",1,0)+IF(V15="Yes",1,0)+IF(W15="Yes",2,0)+IF(X15="Yes",1,0)+IF(J15&gt;=50,1,0)</f>
        <v/>
      </c>
      <c r="AB15" s="3">
        <f>IF(AA15&gt;=14,"High",IF(AA15&gt;=8,"Mid","Low"))</f>
        <v/>
      </c>
      <c r="AC15" s="3" t="inlineStr">
        <is>
          <t>Base + Fuel Clause</t>
        </is>
      </c>
      <c r="AD15" s="3" t="inlineStr">
        <is>
          <t>Southern Company subsidiary</t>
        </is>
      </c>
    </row>
    <row r="16">
      <c r="A16" s="3" t="n">
        <v>14</v>
      </c>
      <c r="B16" s="3" t="inlineStr">
        <is>
          <t>Mississippi Power</t>
        </is>
      </c>
      <c r="C16" s="3" t="inlineStr">
        <is>
          <t>MS</t>
        </is>
      </c>
      <c r="D16" s="3" t="inlineStr">
        <is>
          <t>Southeast</t>
        </is>
      </c>
      <c r="E16" s="3" t="inlineStr">
        <is>
          <t>None</t>
        </is>
      </c>
      <c r="F16" s="3" t="inlineStr">
        <is>
          <t>Large Power TOU</t>
        </is>
      </c>
      <c r="G16" s="3" t="inlineStr">
        <is>
          <t>Schedule 47 LPO-TOU-17</t>
        </is>
      </c>
      <c r="H16" s="3" t="inlineStr">
        <is>
          <t>2025-01-01</t>
        </is>
      </c>
      <c r="I16" s="3" t="inlineStr">
        <is>
          <t>Active</t>
        </is>
      </c>
      <c r="J16" s="3" t="n">
        <v>1</v>
      </c>
      <c r="K16" s="3" t="n">
        <v>9.800000000000001</v>
      </c>
      <c r="L16" s="3" t="n">
        <v>4.2</v>
      </c>
      <c r="M16" s="3" t="n">
        <v>0.038</v>
      </c>
      <c r="N16" s="3" t="n">
        <v>0.028</v>
      </c>
      <c r="O16" s="3" t="n">
        <v>0.022</v>
      </c>
      <c r="P16" s="3" t="n">
        <v>5</v>
      </c>
      <c r="Q16" s="3" t="n">
        <v>60</v>
      </c>
      <c r="R16" s="3" t="inlineStr">
        <is>
          <t>Yes</t>
        </is>
      </c>
      <c r="S16" s="3" t="inlineStr">
        <is>
          <t>Yes</t>
        </is>
      </c>
      <c r="T16" s="3" t="inlineStr">
        <is>
          <t>No</t>
        </is>
      </c>
      <c r="U16" s="3" t="inlineStr">
        <is>
          <t>No</t>
        </is>
      </c>
      <c r="V16" s="3" t="inlineStr">
        <is>
          <t>Yes</t>
        </is>
      </c>
      <c r="W16" s="3" t="inlineStr">
        <is>
          <t>No</t>
        </is>
      </c>
      <c r="X16" s="3" t="inlineStr">
        <is>
          <t>No</t>
        </is>
      </c>
      <c r="Y16" s="4">
        <f>((K16*600000)+(L16*600000*0.5)+((M16+O16)*140160000)+((N16+O16)*210240000)+500)/350400000</f>
        <v/>
      </c>
      <c r="Z16" s="5">
        <f>(Y16*350400000*12)/1000000</f>
        <v/>
      </c>
      <c r="AA16" s="3">
        <f>IF(Q16&gt;=90,3,IF(Q16&gt;=80,2,IF(Q16&gt;=60,1,0)))+IF(P16&gt;=15,3,IF(P16&gt;=10,2,IF(P16&gt;=5,1,0)))+IF(S16="Yes",2,0)+IF(T16="Yes",2,0)+IF(U16="Yes",2,0)+IF(R16="Yes",1,0)+IF(V16="Yes",1,0)+IF(W16="Yes",2,0)+IF(X16="Yes",1,0)+IF(J16&gt;=50,1,0)</f>
        <v/>
      </c>
      <c r="AB16" s="3">
        <f>IF(AA16&gt;=14,"High",IF(AA16&gt;=8,"Mid","Low"))</f>
        <v/>
      </c>
      <c r="AC16" s="3" t="inlineStr">
        <is>
          <t>Base + Fuel + ECM</t>
        </is>
      </c>
      <c r="AD16" s="3" t="inlineStr">
        <is>
          <t>Southern Company subsidiary</t>
        </is>
      </c>
    </row>
    <row r="17">
      <c r="A17" s="3" t="n">
        <v>15</v>
      </c>
      <c r="B17" s="3" t="inlineStr">
        <is>
          <t>Tampa Electric (TECO)</t>
        </is>
      </c>
      <c r="C17" s="3" t="inlineStr">
        <is>
          <t>FL</t>
        </is>
      </c>
      <c r="D17" s="3" t="inlineStr">
        <is>
          <t>Southeast</t>
        </is>
      </c>
      <c r="E17" s="3" t="inlineStr">
        <is>
          <t>None</t>
        </is>
      </c>
      <c r="F17" s="3" t="inlineStr">
        <is>
          <t>Large General Service Demand</t>
        </is>
      </c>
      <c r="G17" s="3" t="inlineStr">
        <is>
          <t>Schedule GSLD</t>
        </is>
      </c>
      <c r="H17" s="3" t="inlineStr">
        <is>
          <t>2025-01-01</t>
        </is>
      </c>
      <c r="I17" s="3" t="inlineStr">
        <is>
          <t>Active</t>
        </is>
      </c>
      <c r="J17" s="3" t="n">
        <v>0.5</v>
      </c>
      <c r="K17" s="3" t="n">
        <v>8.199999999999999</v>
      </c>
      <c r="L17" s="3" t="n">
        <v>3.4</v>
      </c>
      <c r="M17" s="3" t="n">
        <v>0.038</v>
      </c>
      <c r="N17" s="3" t="n">
        <v>0.028</v>
      </c>
      <c r="O17" s="3" t="n">
        <v>0.028</v>
      </c>
      <c r="P17" s="3" t="n">
        <v>5</v>
      </c>
      <c r="Q17" s="3" t="n">
        <v>0</v>
      </c>
      <c r="R17" s="3" t="inlineStr">
        <is>
          <t>Yes</t>
        </is>
      </c>
      <c r="S17" s="3" t="inlineStr">
        <is>
          <t>Yes</t>
        </is>
      </c>
      <c r="T17" s="3" t="inlineStr">
        <is>
          <t>No</t>
        </is>
      </c>
      <c r="U17" s="3" t="inlineStr">
        <is>
          <t>No</t>
        </is>
      </c>
      <c r="V17" s="3" t="inlineStr">
        <is>
          <t>Yes</t>
        </is>
      </c>
      <c r="W17" s="3" t="inlineStr">
        <is>
          <t>No</t>
        </is>
      </c>
      <c r="X17" s="3" t="inlineStr">
        <is>
          <t>No</t>
        </is>
      </c>
      <c r="Y17" s="4">
        <f>((K17*600000)+(L17*600000*0.5)+((M17+O17)*140160000)+((N17+O17)*210240000)+500)/350400000</f>
        <v/>
      </c>
      <c r="Z17" s="5">
        <f>(Y17*350400000*12)/1000000</f>
        <v/>
      </c>
      <c r="AA17" s="3">
        <f>IF(Q17&gt;=90,3,IF(Q17&gt;=80,2,IF(Q17&gt;=60,1,0)))+IF(P17&gt;=15,3,IF(P17&gt;=10,2,IF(P17&gt;=5,1,0)))+IF(S17="Yes",2,0)+IF(T17="Yes",2,0)+IF(U17="Yes",2,0)+IF(R17="Yes",1,0)+IF(V17="Yes",1,0)+IF(W17="Yes",2,0)+IF(X17="Yes",1,0)+IF(J17&gt;=50,1,0)</f>
        <v/>
      </c>
      <c r="AB17" s="3">
        <f>IF(AA17&gt;=14,"High",IF(AA17&gt;=8,"Mid","Low"))</f>
        <v/>
      </c>
      <c r="AC17" s="3" t="inlineStr">
        <is>
          <t>Base + Fuel Clause</t>
        </is>
      </c>
      <c r="AD17" s="3" t="inlineStr">
        <is>
          <t>9-14% rate increase Dec 2024</t>
        </is>
      </c>
    </row>
    <row r="18">
      <c r="A18" s="3" t="n">
        <v>16</v>
      </c>
      <c r="B18" s="3" t="inlineStr">
        <is>
          <t>TVA</t>
        </is>
      </c>
      <c r="C18" s="3" t="inlineStr">
        <is>
          <t>TN/AL/KY/MS</t>
        </is>
      </c>
      <c r="D18" s="3" t="inlineStr">
        <is>
          <t>Southeast</t>
        </is>
      </c>
      <c r="E18" s="3" t="inlineStr">
        <is>
          <t>None</t>
        </is>
      </c>
      <c r="F18" s="3" t="inlineStr">
        <is>
          <t>General Service Rate</t>
        </is>
      </c>
      <c r="G18" s="3" t="inlineStr">
        <is>
          <t>GSA Part 3</t>
        </is>
      </c>
      <c r="H18" s="3" t="inlineStr">
        <is>
          <t>2024-10-01</t>
        </is>
      </c>
      <c r="I18" s="3" t="inlineStr">
        <is>
          <t>Active</t>
        </is>
      </c>
      <c r="J18" s="3" t="n">
        <v>1</v>
      </c>
      <c r="K18" s="3" t="n">
        <v>5.34</v>
      </c>
      <c r="L18" s="3" t="n">
        <v>2.5</v>
      </c>
      <c r="M18" s="3" t="n">
        <v>0.0245</v>
      </c>
      <c r="N18" s="3" t="n">
        <v>0.0185</v>
      </c>
      <c r="O18" s="3" t="n">
        <v>0.015</v>
      </c>
      <c r="P18" s="3" t="n">
        <v>5</v>
      </c>
      <c r="Q18" s="3" t="n">
        <v>60</v>
      </c>
      <c r="R18" s="3" t="inlineStr">
        <is>
          <t>No</t>
        </is>
      </c>
      <c r="S18" s="3" t="inlineStr">
        <is>
          <t>Yes</t>
        </is>
      </c>
      <c r="T18" s="3" t="inlineStr">
        <is>
          <t>No</t>
        </is>
      </c>
      <c r="U18" s="3" t="inlineStr">
        <is>
          <t>No</t>
        </is>
      </c>
      <c r="V18" s="3" t="inlineStr">
        <is>
          <t>Yes</t>
        </is>
      </c>
      <c r="W18" s="3" t="inlineStr">
        <is>
          <t>No</t>
        </is>
      </c>
      <c r="X18" s="3" t="inlineStr">
        <is>
          <t>No</t>
        </is>
      </c>
      <c r="Y18" s="4">
        <f>((K18*600000)+(L18*600000*0.5)+((M18+O18)*140160000)+((N18+O18)*210240000)+500)/350400000</f>
        <v/>
      </c>
      <c r="Z18" s="5">
        <f>(Y18*350400000*12)/1000000</f>
        <v/>
      </c>
      <c r="AA18" s="3">
        <f>IF(Q18&gt;=90,3,IF(Q18&gt;=80,2,IF(Q18&gt;=60,1,0)))+IF(P18&gt;=15,3,IF(P18&gt;=10,2,IF(P18&gt;=5,1,0)))+IF(S18="Yes",2,0)+IF(T18="Yes",2,0)+IF(U18="Yes",2,0)+IF(R18="Yes",1,0)+IF(V18="Yes",1,0)+IF(W18="Yes",2,0)+IF(X18="Yes",1,0)+IF(J18&gt;=50,1,0)</f>
        <v/>
      </c>
      <c r="AB18" s="3">
        <f>IF(AA18&gt;=14,"High",IF(AA18&gt;=8,"Mid","Low"))</f>
        <v/>
      </c>
      <c r="AC18" s="3" t="inlineStr">
        <is>
          <t>Base + Fuel Cost Adj</t>
        </is>
      </c>
      <c r="AD18" s="3" t="inlineStr">
        <is>
          <t>Federal power agency; lowest rates in Southeast</t>
        </is>
      </c>
    </row>
    <row r="19">
      <c r="A19" s="3" t="n">
        <v>17</v>
      </c>
      <c r="B19" s="3" t="inlineStr">
        <is>
          <t>Santee Cooper</t>
        </is>
      </c>
      <c r="C19" s="3" t="inlineStr">
        <is>
          <t>SC</t>
        </is>
      </c>
      <c r="D19" s="3" t="inlineStr">
        <is>
          <t>Southeast</t>
        </is>
      </c>
      <c r="E19" s="3" t="inlineStr">
        <is>
          <t>None</t>
        </is>
      </c>
      <c r="F19" s="3" t="inlineStr">
        <is>
          <t>Large Light &amp; Power</t>
        </is>
      </c>
      <c r="G19" s="3" t="inlineStr">
        <is>
          <t>Schedule LL&amp;P-50MW</t>
        </is>
      </c>
      <c r="H19" s="3" t="inlineStr">
        <is>
          <t>2025-04-01</t>
        </is>
      </c>
      <c r="I19" s="3" t="inlineStr">
        <is>
          <t>Active</t>
        </is>
      </c>
      <c r="J19" s="3" t="n">
        <v>50</v>
      </c>
      <c r="K19" s="3" t="n">
        <v>11.2</v>
      </c>
      <c r="L19" s="3" t="n">
        <v>4.5</v>
      </c>
      <c r="M19" s="3" t="n">
        <v>0.045</v>
      </c>
      <c r="N19" s="3" t="n">
        <v>0.032</v>
      </c>
      <c r="O19" s="3" t="n">
        <v>0.018</v>
      </c>
      <c r="P19" s="3" t="n">
        <v>15</v>
      </c>
      <c r="Q19" s="3" t="n">
        <v>80</v>
      </c>
      <c r="R19" s="3" t="inlineStr">
        <is>
          <t>Yes</t>
        </is>
      </c>
      <c r="S19" s="3" t="inlineStr">
        <is>
          <t>Yes</t>
        </is>
      </c>
      <c r="T19" s="3" t="inlineStr">
        <is>
          <t>Yes</t>
        </is>
      </c>
      <c r="U19" s="3" t="inlineStr">
        <is>
          <t>Yes</t>
        </is>
      </c>
      <c r="V19" s="3" t="inlineStr">
        <is>
          <t>Yes</t>
        </is>
      </c>
      <c r="W19" s="3" t="inlineStr">
        <is>
          <t>Yes</t>
        </is>
      </c>
      <c r="X19" s="3" t="inlineStr">
        <is>
          <t>Yes</t>
        </is>
      </c>
      <c r="Y19" s="4">
        <f>((K19*600000)+(L19*600000*0.5)+((M19+O19)*140160000)+((N19+O19)*210240000)+500)/350400000</f>
        <v/>
      </c>
      <c r="Z19" s="5">
        <f>(Y19*350400000*12)/1000000</f>
        <v/>
      </c>
      <c r="AA19" s="3">
        <f>IF(Q19&gt;=90,3,IF(Q19&gt;=80,2,IF(Q19&gt;=60,1,0)))+IF(P19&gt;=15,3,IF(P19&gt;=10,2,IF(P19&gt;=5,1,0)))+IF(S19="Yes",2,0)+IF(T19="Yes",2,0)+IF(U19="Yes",2,0)+IF(R19="Yes",1,0)+IF(V19="Yes",1,0)+IF(W19="Yes",2,0)+IF(X19="Yes",1,0)+IF(J19&gt;=50,1,0)</f>
        <v/>
      </c>
      <c r="AB19" s="3">
        <f>IF(AA19&gt;=14,"High",IF(AA19&gt;=8,"Mid","Low"))</f>
        <v/>
      </c>
      <c r="AC19" s="3" t="inlineStr">
        <is>
          <t>Base + Fuel Adj</t>
        </is>
      </c>
      <c r="AD19" s="3" t="inlineStr">
        <is>
          <t>State-owned utility</t>
        </is>
      </c>
    </row>
    <row r="20">
      <c r="A20" s="3" t="n">
        <v>18</v>
      </c>
      <c r="B20" s="3" t="inlineStr">
        <is>
          <t>Entergy Louisiana</t>
        </is>
      </c>
      <c r="C20" s="3" t="inlineStr">
        <is>
          <t>LA</t>
        </is>
      </c>
      <c r="D20" s="3" t="inlineStr">
        <is>
          <t>Southeast</t>
        </is>
      </c>
      <c r="E20" s="3" t="inlineStr">
        <is>
          <t>MISO</t>
        </is>
      </c>
      <c r="F20" s="3" t="inlineStr">
        <is>
          <t>Large General Service</t>
        </is>
      </c>
      <c r="G20" s="3" t="inlineStr">
        <is>
          <t>Schedule LGS</t>
        </is>
      </c>
      <c r="H20" s="3" t="inlineStr">
        <is>
          <t>2025-01-01</t>
        </is>
      </c>
      <c r="I20" s="3" t="inlineStr">
        <is>
          <t>Active</t>
        </is>
      </c>
      <c r="J20" s="3" t="n">
        <v>1</v>
      </c>
      <c r="K20" s="3" t="n">
        <v>7.2</v>
      </c>
      <c r="L20" s="3" t="n">
        <v>2.8</v>
      </c>
      <c r="M20" s="3" t="n">
        <v>0.042</v>
      </c>
      <c r="N20" s="3" t="n">
        <v>0.03</v>
      </c>
      <c r="O20" s="3" t="n">
        <v>0.018</v>
      </c>
      <c r="P20" s="3" t="n">
        <v>5</v>
      </c>
      <c r="Q20" s="3" t="n">
        <v>0</v>
      </c>
      <c r="R20" s="3" t="inlineStr">
        <is>
          <t>Yes</t>
        </is>
      </c>
      <c r="S20" s="3" t="inlineStr">
        <is>
          <t>Yes</t>
        </is>
      </c>
      <c r="T20" s="3" t="inlineStr">
        <is>
          <t>No</t>
        </is>
      </c>
      <c r="U20" s="3" t="inlineStr">
        <is>
          <t>No</t>
        </is>
      </c>
      <c r="V20" s="3" t="inlineStr">
        <is>
          <t>Yes</t>
        </is>
      </c>
      <c r="W20" s="3" t="inlineStr">
        <is>
          <t>No</t>
        </is>
      </c>
      <c r="X20" s="3" t="inlineStr">
        <is>
          <t>No</t>
        </is>
      </c>
      <c r="Y20" s="4">
        <f>((K20*600000)+(L20*600000*0.5)+((M20+O20)*140160000)+((N20+O20)*210240000)+500)/350400000</f>
        <v/>
      </c>
      <c r="Z20" s="5">
        <f>(Y20*350400000*12)/1000000</f>
        <v/>
      </c>
      <c r="AA20" s="3">
        <f>IF(Q20&gt;=90,3,IF(Q20&gt;=80,2,IF(Q20&gt;=60,1,0)))+IF(P20&gt;=15,3,IF(P20&gt;=10,2,IF(P20&gt;=5,1,0)))+IF(S20="Yes",2,0)+IF(T20="Yes",2,0)+IF(U20="Yes",2,0)+IF(R20="Yes",1,0)+IF(V20="Yes",1,0)+IF(W20="Yes",2,0)+IF(X20="Yes",1,0)+IF(J20&gt;=50,1,0)</f>
        <v/>
      </c>
      <c r="AB20" s="3">
        <f>IF(AA20&gt;=14,"High",IF(AA20&gt;=8,"Mid","Low"))</f>
        <v/>
      </c>
      <c r="AC20" s="3" t="inlineStr">
        <is>
          <t>Base + Fuel Adj</t>
        </is>
      </c>
      <c r="AD20" s="3" t="inlineStr">
        <is>
          <t>30-min peak interval billing</t>
        </is>
      </c>
    </row>
    <row r="21">
      <c r="A21" s="3" t="n">
        <v>19</v>
      </c>
      <c r="B21" s="3" t="inlineStr">
        <is>
          <t>JEA</t>
        </is>
      </c>
      <c r="C21" s="3" t="inlineStr">
        <is>
          <t>FL</t>
        </is>
      </c>
      <c r="D21" s="3" t="inlineStr">
        <is>
          <t>Southeast</t>
        </is>
      </c>
      <c r="E21" s="3" t="inlineStr">
        <is>
          <t>None</t>
        </is>
      </c>
      <c r="F21" s="3" t="inlineStr">
        <is>
          <t>Large General Service</t>
        </is>
      </c>
      <c r="G21" s="3" t="inlineStr">
        <is>
          <t>Schedule LGS</t>
        </is>
      </c>
      <c r="H21" s="3" t="inlineStr">
        <is>
          <t>2025-01-01</t>
        </is>
      </c>
      <c r="I21" s="3" t="inlineStr">
        <is>
          <t>Active</t>
        </is>
      </c>
      <c r="J21" s="3" t="n">
        <v>0.5</v>
      </c>
      <c r="K21" s="3" t="n">
        <v>7.8</v>
      </c>
      <c r="L21" s="3" t="n">
        <v>3.2</v>
      </c>
      <c r="M21" s="3" t="n">
        <v>0.042</v>
      </c>
      <c r="N21" s="3" t="n">
        <v>0.03</v>
      </c>
      <c r="O21" s="3" t="n">
        <v>0.025</v>
      </c>
      <c r="P21" s="3" t="n">
        <v>5</v>
      </c>
      <c r="Q21" s="3" t="n">
        <v>0</v>
      </c>
      <c r="R21" s="3" t="inlineStr">
        <is>
          <t>Yes</t>
        </is>
      </c>
      <c r="S21" s="3" t="inlineStr">
        <is>
          <t>Yes</t>
        </is>
      </c>
      <c r="T21" s="3" t="inlineStr">
        <is>
          <t>No</t>
        </is>
      </c>
      <c r="U21" s="3" t="inlineStr">
        <is>
          <t>No</t>
        </is>
      </c>
      <c r="V21" s="3" t="inlineStr">
        <is>
          <t>Yes</t>
        </is>
      </c>
      <c r="W21" s="3" t="inlineStr">
        <is>
          <t>No</t>
        </is>
      </c>
      <c r="X21" s="3" t="inlineStr">
        <is>
          <t>No</t>
        </is>
      </c>
      <c r="Y21" s="4">
        <f>((K21*600000)+(L21*600000*0.5)+((M21+O21)*140160000)+((N21+O21)*210240000)+500)/350400000</f>
        <v/>
      </c>
      <c r="Z21" s="5">
        <f>(Y21*350400000*12)/1000000</f>
        <v/>
      </c>
      <c r="AA21" s="3">
        <f>IF(Q21&gt;=90,3,IF(Q21&gt;=80,2,IF(Q21&gt;=60,1,0)))+IF(P21&gt;=15,3,IF(P21&gt;=10,2,IF(P21&gt;=5,1,0)))+IF(S21="Yes",2,0)+IF(T21="Yes",2,0)+IF(U21="Yes",2,0)+IF(R21="Yes",1,0)+IF(V21="Yes",1,0)+IF(W21="Yes",2,0)+IF(X21="Yes",1,0)+IF(J21&gt;=50,1,0)</f>
        <v/>
      </c>
      <c r="AB21" s="3">
        <f>IF(AA21&gt;=14,"High",IF(AA21&gt;=8,"Mid","Low"))</f>
        <v/>
      </c>
      <c r="AC21" s="3" t="inlineStr">
        <is>
          <t>Base + Fuel</t>
        </is>
      </c>
      <c r="AD21" s="3" t="inlineStr">
        <is>
          <t>Jacksonville municipal</t>
        </is>
      </c>
    </row>
    <row r="22">
      <c r="A22" s="3" t="n">
        <v>20</v>
      </c>
      <c r="B22" s="3" t="inlineStr">
        <is>
          <t>AEP Ohio</t>
        </is>
      </c>
      <c r="C22" s="3" t="inlineStr">
        <is>
          <t>OH</t>
        </is>
      </c>
      <c r="D22" s="3" t="inlineStr">
        <is>
          <t>Midwest</t>
        </is>
      </c>
      <c r="E22" s="3" t="inlineStr">
        <is>
          <t>PJM</t>
        </is>
      </c>
      <c r="F22" s="3" t="inlineStr">
        <is>
          <t>Data Center Tariff (DCT)</t>
        </is>
      </c>
      <c r="G22" s="3" t="inlineStr">
        <is>
          <t>Schedule DCT</t>
        </is>
      </c>
      <c r="H22" s="3" t="inlineStr">
        <is>
          <t>2025-07-23</t>
        </is>
      </c>
      <c r="I22" s="3" t="inlineStr">
        <is>
          <t>Active</t>
        </is>
      </c>
      <c r="J22" s="3" t="n">
        <v>1</v>
      </c>
      <c r="K22" s="3" t="n">
        <v>6.5</v>
      </c>
      <c r="L22" s="3" t="n">
        <v>2</v>
      </c>
      <c r="M22" s="3" t="n">
        <v>0.045</v>
      </c>
      <c r="N22" s="3" t="n">
        <v>0.032</v>
      </c>
      <c r="O22" s="3" t="n">
        <v>0.015</v>
      </c>
      <c r="P22" s="3" t="n">
        <v>12</v>
      </c>
      <c r="Q22" s="3" t="n">
        <v>85</v>
      </c>
      <c r="R22" s="3" t="inlineStr">
        <is>
          <t>Yes</t>
        </is>
      </c>
      <c r="S22" s="3" t="inlineStr">
        <is>
          <t>Yes</t>
        </is>
      </c>
      <c r="T22" s="3" t="inlineStr">
        <is>
          <t>Yes</t>
        </is>
      </c>
      <c r="U22" s="3" t="inlineStr">
        <is>
          <t>Yes</t>
        </is>
      </c>
      <c r="V22" s="3" t="inlineStr">
        <is>
          <t>Yes</t>
        </is>
      </c>
      <c r="W22" s="3" t="inlineStr">
        <is>
          <t>Yes</t>
        </is>
      </c>
      <c r="X22" s="3" t="inlineStr">
        <is>
          <t>Yes</t>
        </is>
      </c>
      <c r="Y22" s="4">
        <f>((K22*600000)+(L22*600000*0.5)+((M22+O22)*140160000)+((N22+O22)*210240000)+500)/350400000</f>
        <v/>
      </c>
      <c r="Z22" s="5">
        <f>(Y22*350400000*12)/1000000</f>
        <v/>
      </c>
      <c r="AA22" s="3">
        <f>IF(Q22&gt;=90,3,IF(Q22&gt;=80,2,IF(Q22&gt;=60,1,0)))+IF(P22&gt;=15,3,IF(P22&gt;=10,2,IF(P22&gt;=5,1,0)))+IF(S22="Yes",2,0)+IF(T22="Yes",2,0)+IF(U22="Yes",2,0)+IF(R22="Yes",1,0)+IF(V22="Yes",1,0)+IF(W22="Yes",2,0)+IF(X22="Yes",1,0)+IF(J22&gt;=50,1,0)</f>
        <v/>
      </c>
      <c r="AB22" s="3">
        <f>IF(AA22&gt;=14,"High",IF(AA22&gt;=8,"Mid","Low"))</f>
        <v/>
      </c>
      <c r="AC22" s="3" t="inlineStr">
        <is>
          <t>Base + PJM Capacity</t>
        </is>
      </c>
      <c r="AD22" s="3" t="inlineStr">
        <is>
          <t>DCT: Investment Grade OR Cash Collateral (10x for sub-IG). No parent guarantees for sub-IG. Two-step queue: Load Study (45d) → ESA (60d).</t>
        </is>
      </c>
    </row>
    <row r="23">
      <c r="A23" s="3" t="n">
        <v>21</v>
      </c>
      <c r="B23" s="3" t="inlineStr">
        <is>
          <t>Dominion Energy Virginia</t>
        </is>
      </c>
      <c r="C23" s="3" t="inlineStr">
        <is>
          <t>VA</t>
        </is>
      </c>
      <c r="D23" s="3" t="inlineStr">
        <is>
          <t>Mid-Atlantic</t>
        </is>
      </c>
      <c r="E23" s="3" t="inlineStr">
        <is>
          <t>PJM</t>
        </is>
      </c>
      <c r="F23" s="3" t="inlineStr">
        <is>
          <t>Large General Service TOU</t>
        </is>
      </c>
      <c r="G23" s="3" t="inlineStr">
        <is>
          <t>Schedule GS-4</t>
        </is>
      </c>
      <c r="H23" s="3" t="inlineStr">
        <is>
          <t>2025-01-01</t>
        </is>
      </c>
      <c r="I23" s="3" t="inlineStr">
        <is>
          <t>Active</t>
        </is>
      </c>
      <c r="J23" s="3" t="n">
        <v>0.5</v>
      </c>
      <c r="K23" s="3" t="n">
        <v>8.77</v>
      </c>
      <c r="L23" s="3" t="n">
        <v>0.52</v>
      </c>
      <c r="M23" s="3" t="n">
        <v>0.027</v>
      </c>
      <c r="N23" s="3" t="n">
        <v>0.018</v>
      </c>
      <c r="O23" s="3" t="n">
        <v>0.018</v>
      </c>
      <c r="P23" s="3" t="n">
        <v>14</v>
      </c>
      <c r="Q23" s="3" t="n">
        <v>85</v>
      </c>
      <c r="R23" s="3" t="inlineStr">
        <is>
          <t>Yes</t>
        </is>
      </c>
      <c r="S23" s="3" t="inlineStr">
        <is>
          <t>Yes</t>
        </is>
      </c>
      <c r="T23" s="3" t="inlineStr">
        <is>
          <t>Yes</t>
        </is>
      </c>
      <c r="U23" s="3" t="inlineStr">
        <is>
          <t>Yes</t>
        </is>
      </c>
      <c r="V23" s="3" t="inlineStr">
        <is>
          <t>Yes</t>
        </is>
      </c>
      <c r="W23" s="3" t="inlineStr">
        <is>
          <t>Yes</t>
        </is>
      </c>
      <c r="X23" s="3" t="inlineStr">
        <is>
          <t>Yes</t>
        </is>
      </c>
      <c r="Y23" s="4">
        <f>((K23*600000)+(L23*600000*0.5)+((M23+O23)*140160000)+((N23+O23)*210240000)+500)/350400000</f>
        <v/>
      </c>
      <c r="Z23" s="5">
        <f>(Y23*350400000*12)/1000000</f>
        <v/>
      </c>
      <c r="AA23" s="3">
        <f>IF(Q23&gt;=90,3,IF(Q23&gt;=80,2,IF(Q23&gt;=60,1,0)))+IF(P23&gt;=15,3,IF(P23&gt;=10,2,IF(P23&gt;=5,1,0)))+IF(S23="Yes",2,0)+IF(T23="Yes",2,0)+IF(U23="Yes",2,0)+IF(R23="Yes",1,0)+IF(V23="Yes",1,0)+IF(W23="Yes",2,0)+IF(X23="Yes",1,0)+IF(J23&gt;=50,1,0)</f>
        <v/>
      </c>
      <c r="AB23" s="3">
        <f>IF(AA23&gt;=14,"High",IF(AA23&gt;=8,"Mid","Low"))</f>
        <v/>
      </c>
      <c r="AC23" s="3" t="inlineStr">
        <is>
          <t>Base + Fuel Rider + PJM</t>
        </is>
      </c>
      <c r="AD23" s="3" t="inlineStr">
        <is>
          <t>GS-4 current; GS-5 effective Jan 1, 2027 for &gt;25MW. Exit Fee = NPV of 85% T&amp;D + 60% Gen for remaining term. 14-year contract required.</t>
        </is>
      </c>
    </row>
    <row r="24">
      <c r="A24" s="3" t="n">
        <v>22</v>
      </c>
      <c r="B24" s="3" t="inlineStr">
        <is>
          <t>NOVEC</t>
        </is>
      </c>
      <c r="C24" s="3" t="inlineStr">
        <is>
          <t>VA</t>
        </is>
      </c>
      <c r="D24" s="3" t="inlineStr">
        <is>
          <t>Mid-Atlantic</t>
        </is>
      </c>
      <c r="E24" s="3" t="inlineStr">
        <is>
          <t>PJM</t>
        </is>
      </c>
      <c r="F24" s="3" t="inlineStr">
        <is>
          <t>Data Center Rate</t>
        </is>
      </c>
      <c r="G24" s="3" t="inlineStr">
        <is>
          <t>Schedule DC</t>
        </is>
      </c>
      <c r="H24" s="3" t="inlineStr">
        <is>
          <t>2024-01-01</t>
        </is>
      </c>
      <c r="I24" s="3" t="inlineStr">
        <is>
          <t>Active</t>
        </is>
      </c>
      <c r="J24" s="3" t="n">
        <v>5</v>
      </c>
      <c r="K24" s="3" t="n">
        <v>12.5</v>
      </c>
      <c r="L24" s="3" t="n">
        <v>6.8</v>
      </c>
      <c r="M24" s="3" t="n">
        <v>0.048</v>
      </c>
      <c r="N24" s="3" t="n">
        <v>0.032</v>
      </c>
      <c r="O24" s="3" t="n">
        <v>0.012</v>
      </c>
      <c r="P24" s="3" t="n">
        <v>20</v>
      </c>
      <c r="Q24" s="3" t="n">
        <v>90</v>
      </c>
      <c r="R24" s="3" t="inlineStr">
        <is>
          <t>Yes</t>
        </is>
      </c>
      <c r="S24" s="3" t="inlineStr">
        <is>
          <t>Yes</t>
        </is>
      </c>
      <c r="T24" s="3" t="inlineStr">
        <is>
          <t>Yes</t>
        </is>
      </c>
      <c r="U24" s="3" t="inlineStr">
        <is>
          <t>Yes</t>
        </is>
      </c>
      <c r="V24" s="3" t="inlineStr">
        <is>
          <t>Yes</t>
        </is>
      </c>
      <c r="W24" s="3" t="inlineStr">
        <is>
          <t>Yes</t>
        </is>
      </c>
      <c r="X24" s="3" t="inlineStr">
        <is>
          <t>Yes</t>
        </is>
      </c>
      <c r="Y24" s="4">
        <f>((K24*600000)+(L24*600000*0.5)+((M24+O24)*140160000)+((N24+O24)*210240000)+500)/350400000</f>
        <v/>
      </c>
      <c r="Z24" s="5">
        <f>(Y24*350400000*12)/1000000</f>
        <v/>
      </c>
      <c r="AA24" s="3">
        <f>IF(Q24&gt;=90,3,IF(Q24&gt;=80,2,IF(Q24&gt;=60,1,0)))+IF(P24&gt;=15,3,IF(P24&gt;=10,2,IF(P24&gt;=5,1,0)))+IF(S24="Yes",2,0)+IF(T24="Yes",2,0)+IF(U24="Yes",2,0)+IF(R24="Yes",1,0)+IF(V24="Yes",1,0)+IF(W24="Yes",2,0)+IF(X24="Yes",1,0)+IF(J24&gt;=50,1,0)</f>
        <v/>
      </c>
      <c r="AB24" s="3">
        <f>IF(AA24&gt;=14,"High",IF(AA24&gt;=8,"Mid","Low"))</f>
        <v/>
      </c>
      <c r="AC24" s="3" t="inlineStr">
        <is>
          <t>All-in DC Contract</t>
        </is>
      </c>
      <c r="AD24" s="3" t="inlineStr">
        <is>
          <t>E3 case study - strongest protections</t>
        </is>
      </c>
    </row>
    <row r="25">
      <c r="A25" s="3" t="n">
        <v>23</v>
      </c>
      <c r="B25" s="3" t="inlineStr">
        <is>
          <t>PPL Electric</t>
        </is>
      </c>
      <c r="C25" s="3" t="inlineStr">
        <is>
          <t>PA</t>
        </is>
      </c>
      <c r="D25" s="3" t="inlineStr">
        <is>
          <t>Mid-Atlantic</t>
        </is>
      </c>
      <c r="E25" s="3" t="inlineStr">
        <is>
          <t>PJM</t>
        </is>
      </c>
      <c r="F25" s="3" t="inlineStr">
        <is>
          <t>Large C&amp;I Transmission</t>
        </is>
      </c>
      <c r="G25" s="3" t="inlineStr">
        <is>
          <t>Pa. P.U.C. No. 201</t>
        </is>
      </c>
      <c r="H25" s="3" t="inlineStr">
        <is>
          <t>2025-06-01</t>
        </is>
      </c>
      <c r="I25" s="3" t="inlineStr">
        <is>
          <t>Active</t>
        </is>
      </c>
      <c r="J25" s="3" t="n">
        <v>1</v>
      </c>
      <c r="K25" s="3" t="n">
        <v>7.8</v>
      </c>
      <c r="L25" s="3" t="n">
        <v>3.2</v>
      </c>
      <c r="M25" s="3" t="n">
        <v>0.042</v>
      </c>
      <c r="N25" s="3" t="n">
        <v>0.03</v>
      </c>
      <c r="O25" s="3" t="n">
        <v>0.015</v>
      </c>
      <c r="P25" s="3" t="n">
        <v>5</v>
      </c>
      <c r="Q25" s="3" t="n">
        <v>80</v>
      </c>
      <c r="R25" s="3" t="inlineStr">
        <is>
          <t>Yes</t>
        </is>
      </c>
      <c r="S25" s="3" t="inlineStr">
        <is>
          <t>Yes</t>
        </is>
      </c>
      <c r="T25" s="3" t="inlineStr">
        <is>
          <t>No</t>
        </is>
      </c>
      <c r="U25" s="3" t="inlineStr">
        <is>
          <t>Yes</t>
        </is>
      </c>
      <c r="V25" s="3" t="inlineStr">
        <is>
          <t>Yes</t>
        </is>
      </c>
      <c r="W25" s="3" t="inlineStr">
        <is>
          <t>No</t>
        </is>
      </c>
      <c r="X25" s="3" t="inlineStr">
        <is>
          <t>Yes</t>
        </is>
      </c>
      <c r="Y25" s="4">
        <f>((K25*600000)+(L25*600000*0.5)+((M25+O25)*140160000)+((N25+O25)*210240000)+500)/350400000</f>
        <v/>
      </c>
      <c r="Z25" s="5">
        <f>(Y25*350400000*12)/1000000</f>
        <v/>
      </c>
      <c r="AA25" s="3">
        <f>IF(Q25&gt;=90,3,IF(Q25&gt;=80,2,IF(Q25&gt;=60,1,0)))+IF(P25&gt;=15,3,IF(P25&gt;=10,2,IF(P25&gt;=5,1,0)))+IF(S25="Yes",2,0)+IF(T25="Yes",2,0)+IF(U25="Yes",2,0)+IF(R25="Yes",1,0)+IF(V25="Yes",1,0)+IF(W25="Yes",2,0)+IF(X25="Yes",1,0)+IF(J25&gt;=50,1,0)</f>
        <v/>
      </c>
      <c r="AB25" s="3">
        <f>IF(AA25&gt;=14,"High",IF(AA25&gt;=8,"Mid","Low"))</f>
        <v/>
      </c>
      <c r="AC25" s="3" t="inlineStr">
        <is>
          <t>Base + PJM</t>
        </is>
      </c>
      <c r="AD25" s="3" t="inlineStr">
        <is>
          <t>PA PUC Model Tariff sets 5-year min</t>
        </is>
      </c>
    </row>
    <row r="26">
      <c r="A26" s="3" t="n">
        <v>24</v>
      </c>
      <c r="B26" s="3" t="inlineStr">
        <is>
          <t>PSEG</t>
        </is>
      </c>
      <c r="C26" s="3" t="inlineStr">
        <is>
          <t>NJ</t>
        </is>
      </c>
      <c r="D26" s="3" t="inlineStr">
        <is>
          <t>Mid-Atlantic</t>
        </is>
      </c>
      <c r="E26" s="3" t="inlineStr">
        <is>
          <t>PJM</t>
        </is>
      </c>
      <c r="F26" s="3" t="inlineStr">
        <is>
          <t>Large Power &amp; Lighting</t>
        </is>
      </c>
      <c r="G26" s="3" t="inlineStr">
        <is>
          <t>Schedule LPL-S/LPL-P</t>
        </is>
      </c>
      <c r="H26" s="3" t="inlineStr">
        <is>
          <t>2025-07-01</t>
        </is>
      </c>
      <c r="I26" s="3" t="inlineStr">
        <is>
          <t>Active</t>
        </is>
      </c>
      <c r="J26" s="3" t="n">
        <v>0.5</v>
      </c>
      <c r="K26" s="3" t="n">
        <v>9.199999999999999</v>
      </c>
      <c r="L26" s="3" t="n">
        <v>4.1</v>
      </c>
      <c r="M26" s="3" t="n">
        <v>0.055</v>
      </c>
      <c r="N26" s="3" t="n">
        <v>0.04</v>
      </c>
      <c r="O26" s="3" t="n">
        <v>0.015</v>
      </c>
      <c r="P26" s="3" t="n">
        <v>5</v>
      </c>
      <c r="Q26" s="3" t="n">
        <v>0</v>
      </c>
      <c r="R26" s="3" t="inlineStr">
        <is>
          <t>No</t>
        </is>
      </c>
      <c r="S26" s="3" t="inlineStr">
        <is>
          <t>Yes</t>
        </is>
      </c>
      <c r="T26" s="3" t="inlineStr">
        <is>
          <t>No</t>
        </is>
      </c>
      <c r="U26" s="3" t="inlineStr">
        <is>
          <t>No</t>
        </is>
      </c>
      <c r="V26" s="3" t="inlineStr">
        <is>
          <t>Yes</t>
        </is>
      </c>
      <c r="W26" s="3" t="inlineStr">
        <is>
          <t>No</t>
        </is>
      </c>
      <c r="X26" s="3" t="inlineStr">
        <is>
          <t>No</t>
        </is>
      </c>
      <c r="Y26" s="4">
        <f>((K26*600000)+(L26*600000*0.5)+((M26+O26)*140160000)+((N26+O26)*210240000)+500)/350400000</f>
        <v/>
      </c>
      <c r="Z26" s="5">
        <f>(Y26*350400000*12)/1000000</f>
        <v/>
      </c>
      <c r="AA26" s="3">
        <f>IF(Q26&gt;=90,3,IF(Q26&gt;=80,2,IF(Q26&gt;=60,1,0)))+IF(P26&gt;=15,3,IF(P26&gt;=10,2,IF(P26&gt;=5,1,0)))+IF(S26="Yes",2,0)+IF(T26="Yes",2,0)+IF(U26="Yes",2,0)+IF(R26="Yes",1,0)+IF(V26="Yes",1,0)+IF(W26="Yes",2,0)+IF(X26="Yes",1,0)+IF(J26&gt;=50,1,0)</f>
        <v/>
      </c>
      <c r="AB26" s="3">
        <f>IF(AA26&gt;=14,"High",IF(AA26&gt;=8,"Mid","Low"))</f>
        <v/>
      </c>
      <c r="AC26" s="3" t="inlineStr">
        <is>
          <t>Base + PJM</t>
        </is>
      </c>
      <c r="AD26" s="3" t="inlineStr">
        <is>
          <t>$370.81 monthly service charge</t>
        </is>
      </c>
    </row>
    <row r="27">
      <c r="A27" s="3" t="n">
        <v>25</v>
      </c>
      <c r="B27" s="3" t="inlineStr">
        <is>
          <t>BGE (Baltimore Gas &amp; Electric)</t>
        </is>
      </c>
      <c r="C27" s="3" t="inlineStr">
        <is>
          <t>MD</t>
        </is>
      </c>
      <c r="D27" s="3" t="inlineStr">
        <is>
          <t>Mid-Atlantic</t>
        </is>
      </c>
      <c r="E27" s="3" t="inlineStr">
        <is>
          <t>PJM</t>
        </is>
      </c>
      <c r="F27" s="3" t="inlineStr">
        <is>
          <t>General Time-of-Use</t>
        </is>
      </c>
      <c r="G27" s="3" t="inlineStr">
        <is>
          <t>Schedule GT LV/TM-RT</t>
        </is>
      </c>
      <c r="H27" s="3" t="inlineStr">
        <is>
          <t>2025-06-01</t>
        </is>
      </c>
      <c r="I27" s="3" t="inlineStr">
        <is>
          <t>Active</t>
        </is>
      </c>
      <c r="J27" s="3" t="n">
        <v>0.025</v>
      </c>
      <c r="K27" s="3" t="n">
        <v>8.5</v>
      </c>
      <c r="L27" s="3" t="n">
        <v>3.8</v>
      </c>
      <c r="M27" s="3" t="n">
        <v>0.048</v>
      </c>
      <c r="N27" s="3" t="n">
        <v>0.035</v>
      </c>
      <c r="O27" s="3" t="n">
        <v>0.012</v>
      </c>
      <c r="P27" s="3" t="n">
        <v>5</v>
      </c>
      <c r="Q27" s="3" t="n">
        <v>0</v>
      </c>
      <c r="R27" s="3" t="inlineStr">
        <is>
          <t>No</t>
        </is>
      </c>
      <c r="S27" s="3" t="inlineStr">
        <is>
          <t>Yes</t>
        </is>
      </c>
      <c r="T27" s="3" t="inlineStr">
        <is>
          <t>No</t>
        </is>
      </c>
      <c r="U27" s="3" t="inlineStr">
        <is>
          <t>No</t>
        </is>
      </c>
      <c r="V27" s="3" t="inlineStr">
        <is>
          <t>Yes</t>
        </is>
      </c>
      <c r="W27" s="3" t="inlineStr">
        <is>
          <t>No</t>
        </is>
      </c>
      <c r="X27" s="3" t="inlineStr">
        <is>
          <t>No</t>
        </is>
      </c>
      <c r="Y27" s="4">
        <f>((K27*600000)+(L27*600000*0.5)+((M27+O27)*140160000)+((N27+O27)*210240000)+500)/350400000</f>
        <v/>
      </c>
      <c r="Z27" s="5">
        <f>(Y27*350400000*12)/1000000</f>
        <v/>
      </c>
      <c r="AA27" s="3">
        <f>IF(Q27&gt;=90,3,IF(Q27&gt;=80,2,IF(Q27&gt;=60,1,0)))+IF(P27&gt;=15,3,IF(P27&gt;=10,2,IF(P27&gt;=5,1,0)))+IF(S27="Yes",2,0)+IF(T27="Yes",2,0)+IF(U27="Yes",2,0)+IF(R27="Yes",1,0)+IF(V27="Yes",1,0)+IF(W27="Yes",2,0)+IF(X27="Yes",1,0)+IF(J27&gt;=50,1,0)</f>
        <v/>
      </c>
      <c r="AB27" s="3">
        <f>IF(AA27&gt;=14,"High",IF(AA27&gt;=8,"Mid","Low"))</f>
        <v/>
      </c>
      <c r="AC27" s="3" t="inlineStr">
        <is>
          <t>Base + PJM</t>
        </is>
      </c>
      <c r="AD27" s="3" t="inlineStr">
        <is>
          <t>Baltimore metro; 23% rate increase proposed</t>
        </is>
      </c>
    </row>
    <row r="28">
      <c r="A28" s="3" t="n">
        <v>26</v>
      </c>
      <c r="B28" s="3" t="inlineStr">
        <is>
          <t>Pepco (MD/DC)</t>
        </is>
      </c>
      <c r="C28" s="3" t="inlineStr">
        <is>
          <t>MD/DC</t>
        </is>
      </c>
      <c r="D28" s="3" t="inlineStr">
        <is>
          <t>Mid-Atlantic</t>
        </is>
      </c>
      <c r="E28" s="3" t="inlineStr">
        <is>
          <t>PJM</t>
        </is>
      </c>
      <c r="F28" s="3" t="inlineStr">
        <is>
          <t>General Service Large Demand</t>
        </is>
      </c>
      <c r="G28" s="3" t="inlineStr">
        <is>
          <t>Schedule GT</t>
        </is>
      </c>
      <c r="H28" s="3" t="inlineStr">
        <is>
          <t>2025-01-01</t>
        </is>
      </c>
      <c r="I28" s="3" t="inlineStr">
        <is>
          <t>Active</t>
        </is>
      </c>
      <c r="J28" s="3" t="n">
        <v>0.25</v>
      </c>
      <c r="K28" s="3" t="n">
        <v>11.2</v>
      </c>
      <c r="L28" s="3" t="n">
        <v>4.8</v>
      </c>
      <c r="M28" s="3" t="n">
        <v>0.058</v>
      </c>
      <c r="N28" s="3" t="n">
        <v>0.042</v>
      </c>
      <c r="O28" s="3" t="n">
        <v>0.015</v>
      </c>
      <c r="P28" s="3" t="n">
        <v>5</v>
      </c>
      <c r="Q28" s="3" t="n">
        <v>0</v>
      </c>
      <c r="R28" s="3" t="inlineStr">
        <is>
          <t>Yes</t>
        </is>
      </c>
      <c r="S28" s="3" t="inlineStr">
        <is>
          <t>Yes</t>
        </is>
      </c>
      <c r="T28" s="3" t="inlineStr">
        <is>
          <t>No</t>
        </is>
      </c>
      <c r="U28" s="3" t="inlineStr">
        <is>
          <t>No</t>
        </is>
      </c>
      <c r="V28" s="3" t="inlineStr">
        <is>
          <t>Yes</t>
        </is>
      </c>
      <c r="W28" s="3" t="inlineStr">
        <is>
          <t>No</t>
        </is>
      </c>
      <c r="X28" s="3" t="inlineStr">
        <is>
          <t>No</t>
        </is>
      </c>
      <c r="Y28" s="4">
        <f>((K28*600000)+(L28*600000*0.5)+((M28+O28)*140160000)+((N28+O28)*210240000)+500)/350400000</f>
        <v/>
      </c>
      <c r="Z28" s="5">
        <f>(Y28*350400000*12)/1000000</f>
        <v/>
      </c>
      <c r="AA28" s="3">
        <f>IF(Q28&gt;=90,3,IF(Q28&gt;=80,2,IF(Q28&gt;=60,1,0)))+IF(P28&gt;=15,3,IF(P28&gt;=10,2,IF(P28&gt;=5,1,0)))+IF(S28="Yes",2,0)+IF(T28="Yes",2,0)+IF(U28="Yes",2,0)+IF(R28="Yes",1,0)+IF(V28="Yes",1,0)+IF(W28="Yes",2,0)+IF(X28="Yes",1,0)+IF(J28&gt;=50,1,0)</f>
        <v/>
      </c>
      <c r="AB28" s="3">
        <f>IF(AA28&gt;=14,"High",IF(AA28&gt;=8,"Mid","Low"))</f>
        <v/>
      </c>
      <c r="AC28" s="3" t="inlineStr">
        <is>
          <t>Base + PJM Capacity + Trans</t>
        </is>
      </c>
      <c r="AD28" s="3" t="inlineStr">
        <is>
          <t>MD/DC service territory; Exelon subsidiary</t>
        </is>
      </c>
    </row>
    <row r="29">
      <c r="A29" s="3" t="n">
        <v>27</v>
      </c>
      <c r="B29" s="3" t="inlineStr">
        <is>
          <t>PECO Energy</t>
        </is>
      </c>
      <c r="C29" s="3" t="inlineStr">
        <is>
          <t>PA</t>
        </is>
      </c>
      <c r="D29" s="3" t="inlineStr">
        <is>
          <t>Mid-Atlantic</t>
        </is>
      </c>
      <c r="E29" s="3" t="inlineStr">
        <is>
          <t>PJM</t>
        </is>
      </c>
      <c r="F29" s="3" t="inlineStr">
        <is>
          <t>General Service Large</t>
        </is>
      </c>
      <c r="G29" s="3" t="inlineStr">
        <is>
          <t>Rate GS-Large</t>
        </is>
      </c>
      <c r="H29" s="3" t="inlineStr">
        <is>
          <t>2025-01-01</t>
        </is>
      </c>
      <c r="I29" s="3" t="inlineStr">
        <is>
          <t>Active</t>
        </is>
      </c>
      <c r="J29" s="3" t="n">
        <v>0.5</v>
      </c>
      <c r="K29" s="3" t="n">
        <v>9.800000000000001</v>
      </c>
      <c r="L29" s="3" t="n">
        <v>4.2</v>
      </c>
      <c r="M29" s="3" t="n">
        <v>0.052</v>
      </c>
      <c r="N29" s="3" t="n">
        <v>0.038</v>
      </c>
      <c r="O29" s="3" t="n">
        <v>0.015</v>
      </c>
      <c r="P29" s="3" t="n">
        <v>5</v>
      </c>
      <c r="Q29" s="3" t="n">
        <v>0</v>
      </c>
      <c r="R29" s="3" t="inlineStr">
        <is>
          <t>Yes</t>
        </is>
      </c>
      <c r="S29" s="3" t="inlineStr">
        <is>
          <t>Yes</t>
        </is>
      </c>
      <c r="T29" s="3" t="inlineStr">
        <is>
          <t>No</t>
        </is>
      </c>
      <c r="U29" s="3" t="inlineStr">
        <is>
          <t>No</t>
        </is>
      </c>
      <c r="V29" s="3" t="inlineStr">
        <is>
          <t>Yes</t>
        </is>
      </c>
      <c r="W29" s="3" t="inlineStr">
        <is>
          <t>No</t>
        </is>
      </c>
      <c r="X29" s="3" t="inlineStr">
        <is>
          <t>No</t>
        </is>
      </c>
      <c r="Y29" s="4">
        <f>((K29*600000)+(L29*600000*0.5)+((M29+O29)*140160000)+((N29+O29)*210240000)+500)/350400000</f>
        <v/>
      </c>
      <c r="Z29" s="5">
        <f>(Y29*350400000*12)/1000000</f>
        <v/>
      </c>
      <c r="AA29" s="3">
        <f>IF(Q29&gt;=90,3,IF(Q29&gt;=80,2,IF(Q29&gt;=60,1,0)))+IF(P29&gt;=15,3,IF(P29&gt;=10,2,IF(P29&gt;=5,1,0)))+IF(S29="Yes",2,0)+IF(T29="Yes",2,0)+IF(U29="Yes",2,0)+IF(R29="Yes",1,0)+IF(V29="Yes",1,0)+IF(W29="Yes",2,0)+IF(X29="Yes",1,0)+IF(J29&gt;=50,1,0)</f>
        <v/>
      </c>
      <c r="AB29" s="3">
        <f>IF(AA29&gt;=14,"High",IF(AA29&gt;=8,"Mid","Low"))</f>
        <v/>
      </c>
      <c r="AC29" s="3" t="inlineStr">
        <is>
          <t>Base + PJM + Generation</t>
        </is>
      </c>
      <c r="AD29" s="3" t="inlineStr">
        <is>
          <t>Philadelphia metro; Exelon subsidiary</t>
        </is>
      </c>
    </row>
    <row r="30">
      <c r="A30" s="3" t="n">
        <v>28</v>
      </c>
      <c r="B30" s="3" t="inlineStr">
        <is>
          <t>ComEd (Exelon)</t>
        </is>
      </c>
      <c r="C30" s="3" t="inlineStr">
        <is>
          <t>IL</t>
        </is>
      </c>
      <c r="D30" s="3" t="inlineStr">
        <is>
          <t>Midwest</t>
        </is>
      </c>
      <c r="E30" s="3" t="inlineStr">
        <is>
          <t>PJM</t>
        </is>
      </c>
      <c r="F30" s="3" t="inlineStr">
        <is>
          <t>Large Load Service + TSA</t>
        </is>
      </c>
      <c r="G30" s="3" t="inlineStr">
        <is>
          <t>Schedule 700 / TSA</t>
        </is>
      </c>
      <c r="H30" s="3" t="inlineStr">
        <is>
          <t>2026-01-06</t>
        </is>
      </c>
      <c r="I30" s="3" t="inlineStr">
        <is>
          <t>Active</t>
        </is>
      </c>
      <c r="J30" s="3" t="n">
        <v>50</v>
      </c>
      <c r="K30" s="3" t="n">
        <v>10.5</v>
      </c>
      <c r="L30" s="3" t="n">
        <v>4.8</v>
      </c>
      <c r="M30" s="3" t="n">
        <v>0.065</v>
      </c>
      <c r="N30" s="3" t="n">
        <v>0.048</v>
      </c>
      <c r="O30" s="3" t="n">
        <v>0.012</v>
      </c>
      <c r="P30" s="3" t="n">
        <v>10</v>
      </c>
      <c r="Q30" s="3" t="n">
        <v>80</v>
      </c>
      <c r="R30" s="3" t="inlineStr">
        <is>
          <t>Yes</t>
        </is>
      </c>
      <c r="S30" s="3" t="inlineStr">
        <is>
          <t>Yes</t>
        </is>
      </c>
      <c r="T30" s="3" t="inlineStr">
        <is>
          <t>Yes</t>
        </is>
      </c>
      <c r="U30" s="3" t="inlineStr">
        <is>
          <t>Yes</t>
        </is>
      </c>
      <c r="V30" s="3" t="inlineStr">
        <is>
          <t>Yes</t>
        </is>
      </c>
      <c r="W30" s="3" t="inlineStr">
        <is>
          <t>Yes</t>
        </is>
      </c>
      <c r="X30" s="3" t="inlineStr">
        <is>
          <t>Yes</t>
        </is>
      </c>
      <c r="Y30" s="4">
        <f>((K30*600000)+(L30*600000*0.5)+((M30+O30)*140160000)+((N30+O30)*210240000)+500)/350400000</f>
        <v/>
      </c>
      <c r="Z30" s="5">
        <f>(Y30*350400000*12)/1000000</f>
        <v/>
      </c>
      <c r="AA30" s="3">
        <f>IF(Q30&gt;=90,3,IF(Q30&gt;=80,2,IF(Q30&gt;=60,1,0)))+IF(P30&gt;=15,3,IF(P30&gt;=10,2,IF(P30&gt;=5,1,0)))+IF(S30="Yes",2,0)+IF(T30="Yes",2,0)+IF(U30="Yes",2,0)+IF(R30="Yes",1,0)+IF(V30="Yes",1,0)+IF(W30="Yes",2,0)+IF(X30="Yes",1,0)+IF(J30&gt;=50,1,0)</f>
        <v/>
      </c>
      <c r="AB30" s="3">
        <f>IF(AA30&gt;=14,"High",IF(AA30&gt;=8,"Mid","Low"))</f>
        <v/>
      </c>
      <c r="AC30" s="3" t="inlineStr">
        <is>
          <t>Base + PJM + TSA Requirements</t>
        </is>
      </c>
      <c r="AD30" s="3" t="inlineStr">
        <is>
          <t>TSA Required: Deposit = $1M (first 200MW) + $500k per 100MW above. For 600MW = $3,000,000. 28 GW pipeline; First TSAs signed Jan 6, 2026.</t>
        </is>
      </c>
    </row>
    <row r="31">
      <c r="A31" s="3" t="n">
        <v>29</v>
      </c>
      <c r="B31" s="3" t="inlineStr">
        <is>
          <t>Atlantic City Electric</t>
        </is>
      </c>
      <c r="C31" s="3" t="inlineStr">
        <is>
          <t>NJ</t>
        </is>
      </c>
      <c r="D31" s="3" t="inlineStr">
        <is>
          <t>Mid-Atlantic</t>
        </is>
      </c>
      <c r="E31" s="3" t="inlineStr">
        <is>
          <t>PJM</t>
        </is>
      </c>
      <c r="F31" s="3" t="inlineStr">
        <is>
          <t>Large General Service TOU</t>
        </is>
      </c>
      <c r="G31" s="3" t="inlineStr">
        <is>
          <t>Schedule AGS-TOU</t>
        </is>
      </c>
      <c r="H31" s="3" t="inlineStr">
        <is>
          <t>2025-01-01</t>
        </is>
      </c>
      <c r="I31" s="3" t="inlineStr">
        <is>
          <t>Active</t>
        </is>
      </c>
      <c r="J31" s="3" t="n">
        <v>0.5</v>
      </c>
      <c r="K31" s="3" t="n">
        <v>8.800000000000001</v>
      </c>
      <c r="L31" s="3" t="n">
        <v>3.8</v>
      </c>
      <c r="M31" s="3" t="n">
        <v>0.052</v>
      </c>
      <c r="N31" s="3" t="n">
        <v>0.038</v>
      </c>
      <c r="O31" s="3" t="n">
        <v>0.015</v>
      </c>
      <c r="P31" s="3" t="n">
        <v>5</v>
      </c>
      <c r="Q31" s="3" t="n">
        <v>0</v>
      </c>
      <c r="R31" s="3" t="inlineStr">
        <is>
          <t>Yes</t>
        </is>
      </c>
      <c r="S31" s="3" t="inlineStr">
        <is>
          <t>Yes</t>
        </is>
      </c>
      <c r="T31" s="3" t="inlineStr">
        <is>
          <t>No</t>
        </is>
      </c>
      <c r="U31" s="3" t="inlineStr">
        <is>
          <t>No</t>
        </is>
      </c>
      <c r="V31" s="3" t="inlineStr">
        <is>
          <t>Yes</t>
        </is>
      </c>
      <c r="W31" s="3" t="inlineStr">
        <is>
          <t>No</t>
        </is>
      </c>
      <c r="X31" s="3" t="inlineStr">
        <is>
          <t>No</t>
        </is>
      </c>
      <c r="Y31" s="4">
        <f>((K31*600000)+(L31*600000*0.5)+((M31+O31)*140160000)+((N31+O31)*210240000)+500)/350400000</f>
        <v/>
      </c>
      <c r="Z31" s="5">
        <f>(Y31*350400000*12)/1000000</f>
        <v/>
      </c>
      <c r="AA31" s="3">
        <f>IF(Q31&gt;=90,3,IF(Q31&gt;=80,2,IF(Q31&gt;=60,1,0)))+IF(P31&gt;=15,3,IF(P31&gt;=10,2,IF(P31&gt;=5,1,0)))+IF(S31="Yes",2,0)+IF(T31="Yes",2,0)+IF(U31="Yes",2,0)+IF(R31="Yes",1,0)+IF(V31="Yes",1,0)+IF(W31="Yes",2,0)+IF(X31="Yes",1,0)+IF(J31&gt;=50,1,0)</f>
        <v/>
      </c>
      <c r="AB31" s="3">
        <f>IF(AA31&gt;=14,"High",IF(AA31&gt;=8,"Mid","Low"))</f>
        <v/>
      </c>
      <c r="AC31" s="3" t="inlineStr">
        <is>
          <t>Base + PJM</t>
        </is>
      </c>
      <c r="AD31" s="3" t="inlineStr">
        <is>
          <t>South NJ; Exelon subsidiary</t>
        </is>
      </c>
    </row>
    <row r="32">
      <c r="A32" s="3" t="n">
        <v>30</v>
      </c>
      <c r="B32" s="3" t="inlineStr">
        <is>
          <t>Delmarva Power</t>
        </is>
      </c>
      <c r="C32" s="3" t="inlineStr">
        <is>
          <t>DE/MD</t>
        </is>
      </c>
      <c r="D32" s="3" t="inlineStr">
        <is>
          <t>Mid-Atlantic</t>
        </is>
      </c>
      <c r="E32" s="3" t="inlineStr">
        <is>
          <t>PJM</t>
        </is>
      </c>
      <c r="F32" s="3" t="inlineStr">
        <is>
          <t>Large General Service TOU</t>
        </is>
      </c>
      <c r="G32" s="3" t="inlineStr">
        <is>
          <t>Schedule SGS-TOU</t>
        </is>
      </c>
      <c r="H32" s="3" t="inlineStr">
        <is>
          <t>2025-01-01</t>
        </is>
      </c>
      <c r="I32" s="3" t="inlineStr">
        <is>
          <t>Active</t>
        </is>
      </c>
      <c r="J32" s="3" t="n">
        <v>0.3</v>
      </c>
      <c r="K32" s="3" t="n">
        <v>9.199999999999999</v>
      </c>
      <c r="L32" s="3" t="n">
        <v>4</v>
      </c>
      <c r="M32" s="3" t="n">
        <v>0.055</v>
      </c>
      <c r="N32" s="3" t="n">
        <v>0.04</v>
      </c>
      <c r="O32" s="3" t="n">
        <v>0.015</v>
      </c>
      <c r="P32" s="3" t="n">
        <v>5</v>
      </c>
      <c r="Q32" s="3" t="n">
        <v>0</v>
      </c>
      <c r="R32" s="3" t="inlineStr">
        <is>
          <t>Yes</t>
        </is>
      </c>
      <c r="S32" s="3" t="inlineStr">
        <is>
          <t>Yes</t>
        </is>
      </c>
      <c r="T32" s="3" t="inlineStr">
        <is>
          <t>No</t>
        </is>
      </c>
      <c r="U32" s="3" t="inlineStr">
        <is>
          <t>No</t>
        </is>
      </c>
      <c r="V32" s="3" t="inlineStr">
        <is>
          <t>Yes</t>
        </is>
      </c>
      <c r="W32" s="3" t="inlineStr">
        <is>
          <t>No</t>
        </is>
      </c>
      <c r="X32" s="3" t="inlineStr">
        <is>
          <t>No</t>
        </is>
      </c>
      <c r="Y32" s="4">
        <f>((K32*600000)+(L32*600000*0.5)+((M32+O32)*140160000)+((N32+O32)*210240000)+500)/350400000</f>
        <v/>
      </c>
      <c r="Z32" s="5">
        <f>(Y32*350400000*12)/1000000</f>
        <v/>
      </c>
      <c r="AA32" s="3">
        <f>IF(Q32&gt;=90,3,IF(Q32&gt;=80,2,IF(Q32&gt;=60,1,0)))+IF(P32&gt;=15,3,IF(P32&gt;=10,2,IF(P32&gt;=5,1,0)))+IF(S32="Yes",2,0)+IF(T32="Yes",2,0)+IF(U32="Yes",2,0)+IF(R32="Yes",1,0)+IF(V32="Yes",1,0)+IF(W32="Yes",2,0)+IF(X32="Yes",1,0)+IF(J32&gt;=50,1,0)</f>
        <v/>
      </c>
      <c r="AB32" s="3">
        <f>IF(AA32&gt;=14,"High",IF(AA32&gt;=8,"Mid","Low"))</f>
        <v/>
      </c>
      <c r="AC32" s="3" t="inlineStr">
        <is>
          <t>Base + PJM</t>
        </is>
      </c>
      <c r="AD32" s="3" t="inlineStr">
        <is>
          <t>Delaware/Eastern Shore MD; Exelon</t>
        </is>
      </c>
    </row>
    <row r="33">
      <c r="A33" s="3" t="n">
        <v>31</v>
      </c>
      <c r="B33" s="3" t="inlineStr">
        <is>
          <t>FirstEnergy (Ohio Edison)</t>
        </is>
      </c>
      <c r="C33" s="3" t="inlineStr">
        <is>
          <t>OH</t>
        </is>
      </c>
      <c r="D33" s="3" t="inlineStr">
        <is>
          <t>Midwest</t>
        </is>
      </c>
      <c r="E33" s="3" t="inlineStr">
        <is>
          <t>PJM</t>
        </is>
      </c>
      <c r="F33" s="3" t="inlineStr">
        <is>
          <t>General Service Primary</t>
        </is>
      </c>
      <c r="G33" s="3" t="inlineStr">
        <is>
          <t>Schedule GP</t>
        </is>
      </c>
      <c r="H33" s="3" t="inlineStr">
        <is>
          <t>2025-01-01</t>
        </is>
      </c>
      <c r="I33" s="3" t="inlineStr">
        <is>
          <t>Active</t>
        </is>
      </c>
      <c r="J33" s="3" t="n">
        <v>0.5</v>
      </c>
      <c r="K33" s="3" t="n">
        <v>7.2</v>
      </c>
      <c r="L33" s="3" t="n">
        <v>3</v>
      </c>
      <c r="M33" s="3" t="n">
        <v>0.048</v>
      </c>
      <c r="N33" s="3" t="n">
        <v>0.035</v>
      </c>
      <c r="O33" s="3" t="n">
        <v>0.015</v>
      </c>
      <c r="P33" s="3" t="n">
        <v>5</v>
      </c>
      <c r="Q33" s="3" t="n">
        <v>0</v>
      </c>
      <c r="R33" s="3" t="inlineStr">
        <is>
          <t>Yes</t>
        </is>
      </c>
      <c r="S33" s="3" t="inlineStr">
        <is>
          <t>Yes</t>
        </is>
      </c>
      <c r="T33" s="3" t="inlineStr">
        <is>
          <t>No</t>
        </is>
      </c>
      <c r="U33" s="3" t="inlineStr">
        <is>
          <t>No</t>
        </is>
      </c>
      <c r="V33" s="3" t="inlineStr">
        <is>
          <t>Yes</t>
        </is>
      </c>
      <c r="W33" s="3" t="inlineStr">
        <is>
          <t>No</t>
        </is>
      </c>
      <c r="X33" s="3" t="inlineStr">
        <is>
          <t>No</t>
        </is>
      </c>
      <c r="Y33" s="4">
        <f>((K33*600000)+(L33*600000*0.5)+((M33+O33)*140160000)+((N33+O33)*210240000)+500)/350400000</f>
        <v/>
      </c>
      <c r="Z33" s="5">
        <f>(Y33*350400000*12)/1000000</f>
        <v/>
      </c>
      <c r="AA33" s="3">
        <f>IF(Q33&gt;=90,3,IF(Q33&gt;=80,2,IF(Q33&gt;=60,1,0)))+IF(P33&gt;=15,3,IF(P33&gt;=10,2,IF(P33&gt;=5,1,0)))+IF(S33="Yes",2,0)+IF(T33="Yes",2,0)+IF(U33="Yes",2,0)+IF(R33="Yes",1,0)+IF(V33="Yes",1,0)+IF(W33="Yes",2,0)+IF(X33="Yes",1,0)+IF(J33&gt;=50,1,0)</f>
        <v/>
      </c>
      <c r="AB33" s="3">
        <f>IF(AA33&gt;=14,"High",IF(AA33&gt;=8,"Mid","Low"))</f>
        <v/>
      </c>
      <c r="AC33" s="3" t="inlineStr">
        <is>
          <t>Base + PJM + Rider DCR</t>
        </is>
      </c>
      <c r="AD33" s="3" t="inlineStr">
        <is>
          <t>Northern/Eastern Ohio</t>
        </is>
      </c>
    </row>
    <row r="34">
      <c r="A34" s="3" t="n">
        <v>32</v>
      </c>
      <c r="B34" s="3" t="inlineStr">
        <is>
          <t>FirstEnergy (Met-Ed)</t>
        </is>
      </c>
      <c r="C34" s="3" t="inlineStr">
        <is>
          <t>PA</t>
        </is>
      </c>
      <c r="D34" s="3" t="inlineStr">
        <is>
          <t>Mid-Atlantic</t>
        </is>
      </c>
      <c r="E34" s="3" t="inlineStr">
        <is>
          <t>PJM</t>
        </is>
      </c>
      <c r="F34" s="3" t="inlineStr">
        <is>
          <t>General Service Large</t>
        </is>
      </c>
      <c r="G34" s="3" t="inlineStr">
        <is>
          <t>Rate Schedule GS-Large</t>
        </is>
      </c>
      <c r="H34" s="3" t="inlineStr">
        <is>
          <t>2025-01-01</t>
        </is>
      </c>
      <c r="I34" s="3" t="inlineStr">
        <is>
          <t>Active</t>
        </is>
      </c>
      <c r="J34" s="3" t="n">
        <v>0.5</v>
      </c>
      <c r="K34" s="3" t="n">
        <v>8.5</v>
      </c>
      <c r="L34" s="3" t="n">
        <v>3.6</v>
      </c>
      <c r="M34" s="3" t="n">
        <v>0.05</v>
      </c>
      <c r="N34" s="3" t="n">
        <v>0.036</v>
      </c>
      <c r="O34" s="3" t="n">
        <v>0.015</v>
      </c>
      <c r="P34" s="3" t="n">
        <v>5</v>
      </c>
      <c r="Q34" s="3" t="n">
        <v>0</v>
      </c>
      <c r="R34" s="3" t="inlineStr">
        <is>
          <t>Yes</t>
        </is>
      </c>
      <c r="S34" s="3" t="inlineStr">
        <is>
          <t>Yes</t>
        </is>
      </c>
      <c r="T34" s="3" t="inlineStr">
        <is>
          <t>No</t>
        </is>
      </c>
      <c r="U34" s="3" t="inlineStr">
        <is>
          <t>No</t>
        </is>
      </c>
      <c r="V34" s="3" t="inlineStr">
        <is>
          <t>Yes</t>
        </is>
      </c>
      <c r="W34" s="3" t="inlineStr">
        <is>
          <t>No</t>
        </is>
      </c>
      <c r="X34" s="3" t="inlineStr">
        <is>
          <t>No</t>
        </is>
      </c>
      <c r="Y34" s="4">
        <f>((K34*600000)+(L34*600000*0.5)+((M34+O34)*140160000)+((N34+O34)*210240000)+500)/350400000</f>
        <v/>
      </c>
      <c r="Z34" s="5">
        <f>(Y34*350400000*12)/1000000</f>
        <v/>
      </c>
      <c r="AA34" s="3">
        <f>IF(Q34&gt;=90,3,IF(Q34&gt;=80,2,IF(Q34&gt;=60,1,0)))+IF(P34&gt;=15,3,IF(P34&gt;=10,2,IF(P34&gt;=5,1,0)))+IF(S34="Yes",2,0)+IF(T34="Yes",2,0)+IF(U34="Yes",2,0)+IF(R34="Yes",1,0)+IF(V34="Yes",1,0)+IF(W34="Yes",2,0)+IF(X34="Yes",1,0)+IF(J34&gt;=50,1,0)</f>
        <v/>
      </c>
      <c r="AB34" s="3">
        <f>IF(AA34&gt;=14,"High",IF(AA34&gt;=8,"Mid","Low"))</f>
        <v/>
      </c>
      <c r="AC34" s="3" t="inlineStr">
        <is>
          <t>Base + PJM</t>
        </is>
      </c>
      <c r="AD34" s="3" t="inlineStr">
        <is>
          <t>Eastern PA</t>
        </is>
      </c>
    </row>
    <row r="35">
      <c r="A35" s="3" t="n">
        <v>33</v>
      </c>
      <c r="B35" s="3" t="inlineStr">
        <is>
          <t>FirstEnergy (Penelec)</t>
        </is>
      </c>
      <c r="C35" s="3" t="inlineStr">
        <is>
          <t>PA</t>
        </is>
      </c>
      <c r="D35" s="3" t="inlineStr">
        <is>
          <t>Mid-Atlantic</t>
        </is>
      </c>
      <c r="E35" s="3" t="inlineStr">
        <is>
          <t>PJM</t>
        </is>
      </c>
      <c r="F35" s="3" t="inlineStr">
        <is>
          <t>General Service Large</t>
        </is>
      </c>
      <c r="G35" s="3" t="inlineStr">
        <is>
          <t>Rate Schedule GS-Large</t>
        </is>
      </c>
      <c r="H35" s="3" t="inlineStr">
        <is>
          <t>2025-01-01</t>
        </is>
      </c>
      <c r="I35" s="3" t="inlineStr">
        <is>
          <t>Active</t>
        </is>
      </c>
      <c r="J35" s="3" t="n">
        <v>0.5</v>
      </c>
      <c r="K35" s="3" t="n">
        <v>7.8</v>
      </c>
      <c r="L35" s="3" t="n">
        <v>3.2</v>
      </c>
      <c r="M35" s="3" t="n">
        <v>0.048</v>
      </c>
      <c r="N35" s="3" t="n">
        <v>0.035</v>
      </c>
      <c r="O35" s="3" t="n">
        <v>0.015</v>
      </c>
      <c r="P35" s="3" t="n">
        <v>5</v>
      </c>
      <c r="Q35" s="3" t="n">
        <v>0</v>
      </c>
      <c r="R35" s="3" t="inlineStr">
        <is>
          <t>Yes</t>
        </is>
      </c>
      <c r="S35" s="3" t="inlineStr">
        <is>
          <t>Yes</t>
        </is>
      </c>
      <c r="T35" s="3" t="inlineStr">
        <is>
          <t>No</t>
        </is>
      </c>
      <c r="U35" s="3" t="inlineStr">
        <is>
          <t>No</t>
        </is>
      </c>
      <c r="V35" s="3" t="inlineStr">
        <is>
          <t>Yes</t>
        </is>
      </c>
      <c r="W35" s="3" t="inlineStr">
        <is>
          <t>No</t>
        </is>
      </c>
      <c r="X35" s="3" t="inlineStr">
        <is>
          <t>No</t>
        </is>
      </c>
      <c r="Y35" s="4">
        <f>((K35*600000)+(L35*600000*0.5)+((M35+O35)*140160000)+((N35+O35)*210240000)+500)/350400000</f>
        <v/>
      </c>
      <c r="Z35" s="5">
        <f>(Y35*350400000*12)/1000000</f>
        <v/>
      </c>
      <c r="AA35" s="3">
        <f>IF(Q35&gt;=90,3,IF(Q35&gt;=80,2,IF(Q35&gt;=60,1,0)))+IF(P35&gt;=15,3,IF(P35&gt;=10,2,IF(P35&gt;=5,1,0)))+IF(S35="Yes",2,0)+IF(T35="Yes",2,0)+IF(U35="Yes",2,0)+IF(R35="Yes",1,0)+IF(V35="Yes",1,0)+IF(W35="Yes",2,0)+IF(X35="Yes",1,0)+IF(J35&gt;=50,1,0)</f>
        <v/>
      </c>
      <c r="AB35" s="3">
        <f>IF(AA35&gt;=14,"High",IF(AA35&gt;=8,"Mid","Low"))</f>
        <v/>
      </c>
      <c r="AC35" s="3" t="inlineStr">
        <is>
          <t>Base + PJM</t>
        </is>
      </c>
      <c r="AD35" s="3" t="inlineStr">
        <is>
          <t>Western/Central PA</t>
        </is>
      </c>
    </row>
    <row r="36">
      <c r="A36" s="3" t="n">
        <v>34</v>
      </c>
      <c r="B36" s="3" t="inlineStr">
        <is>
          <t>FirstEnergy (JCP&amp;L)</t>
        </is>
      </c>
      <c r="C36" s="3" t="inlineStr">
        <is>
          <t>NJ</t>
        </is>
      </c>
      <c r="D36" s="3" t="inlineStr">
        <is>
          <t>Mid-Atlantic</t>
        </is>
      </c>
      <c r="E36" s="3" t="inlineStr">
        <is>
          <t>PJM</t>
        </is>
      </c>
      <c r="F36" s="3" t="inlineStr">
        <is>
          <t>Large General Service</t>
        </is>
      </c>
      <c r="G36" s="3" t="inlineStr">
        <is>
          <t>Schedule LGS</t>
        </is>
      </c>
      <c r="H36" s="3" t="inlineStr">
        <is>
          <t>2025-01-01</t>
        </is>
      </c>
      <c r="I36" s="3" t="inlineStr">
        <is>
          <t>Active</t>
        </is>
      </c>
      <c r="J36" s="3" t="n">
        <v>0.5</v>
      </c>
      <c r="K36" s="3" t="n">
        <v>9</v>
      </c>
      <c r="L36" s="3" t="n">
        <v>3.9</v>
      </c>
      <c r="M36" s="3" t="n">
        <v>0.054</v>
      </c>
      <c r="N36" s="3" t="n">
        <v>0.039</v>
      </c>
      <c r="O36" s="3" t="n">
        <v>0.015</v>
      </c>
      <c r="P36" s="3" t="n">
        <v>5</v>
      </c>
      <c r="Q36" s="3" t="n">
        <v>0</v>
      </c>
      <c r="R36" s="3" t="inlineStr">
        <is>
          <t>Yes</t>
        </is>
      </c>
      <c r="S36" s="3" t="inlineStr">
        <is>
          <t>Yes</t>
        </is>
      </c>
      <c r="T36" s="3" t="inlineStr">
        <is>
          <t>No</t>
        </is>
      </c>
      <c r="U36" s="3" t="inlineStr">
        <is>
          <t>No</t>
        </is>
      </c>
      <c r="V36" s="3" t="inlineStr">
        <is>
          <t>Yes</t>
        </is>
      </c>
      <c r="W36" s="3" t="inlineStr">
        <is>
          <t>No</t>
        </is>
      </c>
      <c r="X36" s="3" t="inlineStr">
        <is>
          <t>No</t>
        </is>
      </c>
      <c r="Y36" s="4">
        <f>((K36*600000)+(L36*600000*0.5)+((M36+O36)*140160000)+((N36+O36)*210240000)+500)/350400000</f>
        <v/>
      </c>
      <c r="Z36" s="5">
        <f>(Y36*350400000*12)/1000000</f>
        <v/>
      </c>
      <c r="AA36" s="3">
        <f>IF(Q36&gt;=90,3,IF(Q36&gt;=80,2,IF(Q36&gt;=60,1,0)))+IF(P36&gt;=15,3,IF(P36&gt;=10,2,IF(P36&gt;=5,1,0)))+IF(S36="Yes",2,0)+IF(T36="Yes",2,0)+IF(U36="Yes",2,0)+IF(R36="Yes",1,0)+IF(V36="Yes",1,0)+IF(W36="Yes",2,0)+IF(X36="Yes",1,0)+IF(J36&gt;=50,1,0)</f>
        <v/>
      </c>
      <c r="AB36" s="3">
        <f>IF(AA36&gt;=14,"High",IF(AA36&gt;=8,"Mid","Low"))</f>
        <v/>
      </c>
      <c r="AC36" s="3" t="inlineStr">
        <is>
          <t>Base + PJM</t>
        </is>
      </c>
      <c r="AD36" s="3" t="inlineStr">
        <is>
          <t>Central NJ</t>
        </is>
      </c>
    </row>
    <row r="37">
      <c r="A37" s="3" t="n">
        <v>35</v>
      </c>
      <c r="B37" s="3" t="inlineStr">
        <is>
          <t>Ameren Missouri</t>
        </is>
      </c>
      <c r="C37" s="3" t="inlineStr">
        <is>
          <t>MO</t>
        </is>
      </c>
      <c r="D37" s="3" t="inlineStr">
        <is>
          <t>Midwest</t>
        </is>
      </c>
      <c r="E37" s="3" t="inlineStr">
        <is>
          <t>MISO</t>
        </is>
      </c>
      <c r="F37" s="3" t="inlineStr">
        <is>
          <t>Large Primary Service</t>
        </is>
      </c>
      <c r="G37" s="3" t="inlineStr">
        <is>
          <t>Schedule 11(M)</t>
        </is>
      </c>
      <c r="H37" s="3" t="inlineStr">
        <is>
          <t>2025-12-04</t>
        </is>
      </c>
      <c r="I37" s="3" t="inlineStr">
        <is>
          <t>Active</t>
        </is>
      </c>
      <c r="J37" s="3" t="n">
        <v>75</v>
      </c>
      <c r="K37" s="3" t="n">
        <v>8.5</v>
      </c>
      <c r="L37" s="3" t="n">
        <v>3.2</v>
      </c>
      <c r="M37" s="3" t="n">
        <v>0.038</v>
      </c>
      <c r="N37" s="3" t="n">
        <v>0.028</v>
      </c>
      <c r="O37" s="3" t="n">
        <v>0.015</v>
      </c>
      <c r="P37" s="3" t="n">
        <v>12</v>
      </c>
      <c r="Q37" s="3" t="n">
        <v>80</v>
      </c>
      <c r="R37" s="3" t="inlineStr">
        <is>
          <t>Yes</t>
        </is>
      </c>
      <c r="S37" s="3" t="inlineStr">
        <is>
          <t>Yes</t>
        </is>
      </c>
      <c r="T37" s="3" t="inlineStr">
        <is>
          <t>Yes</t>
        </is>
      </c>
      <c r="U37" s="3" t="inlineStr">
        <is>
          <t>Yes</t>
        </is>
      </c>
      <c r="V37" s="3" t="inlineStr">
        <is>
          <t>Yes</t>
        </is>
      </c>
      <c r="W37" s="3" t="inlineStr">
        <is>
          <t>Yes</t>
        </is>
      </c>
      <c r="X37" s="3" t="inlineStr">
        <is>
          <t>Yes</t>
        </is>
      </c>
      <c r="Y37" s="4">
        <f>((K37*600000)+(L37*600000*0.5)+((M37+O37)*140160000)+((N37+O37)*210240000)+500)/350400000</f>
        <v/>
      </c>
      <c r="Z37" s="5">
        <f>(Y37*350400000*12)/1000000</f>
        <v/>
      </c>
      <c r="AA37" s="3">
        <f>IF(Q37&gt;=90,3,IF(Q37&gt;=80,2,IF(Q37&gt;=60,1,0)))+IF(P37&gt;=15,3,IF(P37&gt;=10,2,IF(P37&gt;=5,1,0)))+IF(S37="Yes",2,0)+IF(T37="Yes",2,0)+IF(U37="Yes",2,0)+IF(R37="Yes",1,0)+IF(V37="Yes",1,0)+IF(W37="Yes",2,0)+IF(X37="Yes",1,0)+IF(J37&gt;=50,1,0)</f>
        <v/>
      </c>
      <c r="AB37" s="3">
        <f>IF(AA37&gt;=14,"High",IF(AA37&gt;=8,"Mid","Low"))</f>
        <v/>
      </c>
      <c r="AC37" s="3" t="inlineStr">
        <is>
          <t>Base + Fuel Adj</t>
        </is>
      </c>
      <c r="AD37" s="3" t="inlineStr">
        <is>
          <t>75MW threshold; 36-month termination notice</t>
        </is>
      </c>
    </row>
    <row r="38">
      <c r="A38" s="3" t="n">
        <v>36</v>
      </c>
      <c r="B38" s="3" t="inlineStr">
        <is>
          <t>Evergy (Kansas/Missouri)</t>
        </is>
      </c>
      <c r="C38" s="3" t="inlineStr">
        <is>
          <t>KS/MO</t>
        </is>
      </c>
      <c r="D38" s="3" t="inlineStr">
        <is>
          <t>Midwest</t>
        </is>
      </c>
      <c r="E38" s="3" t="inlineStr">
        <is>
          <t>SPP</t>
        </is>
      </c>
      <c r="F38" s="3" t="inlineStr">
        <is>
          <t>Large Load Power Service</t>
        </is>
      </c>
      <c r="G38" s="3" t="inlineStr">
        <is>
          <t>Schedule LLPS</t>
        </is>
      </c>
      <c r="H38" s="3" t="inlineStr">
        <is>
          <t>2025-11-06</t>
        </is>
      </c>
      <c r="I38" s="3" t="inlineStr">
        <is>
          <t>Active</t>
        </is>
      </c>
      <c r="J38" s="3" t="n">
        <v>75</v>
      </c>
      <c r="K38" s="3" t="n">
        <v>7.2</v>
      </c>
      <c r="L38" s="3" t="n">
        <v>2.8</v>
      </c>
      <c r="M38" s="3" t="n">
        <v>0.035</v>
      </c>
      <c r="N38" s="3" t="n">
        <v>0.025</v>
      </c>
      <c r="O38" s="3" t="n">
        <v>0.018</v>
      </c>
      <c r="P38" s="3" t="n">
        <v>17</v>
      </c>
      <c r="Q38" s="3" t="n">
        <v>80</v>
      </c>
      <c r="R38" s="3" t="inlineStr">
        <is>
          <t>Yes</t>
        </is>
      </c>
      <c r="S38" s="3" t="inlineStr">
        <is>
          <t>Yes</t>
        </is>
      </c>
      <c r="T38" s="3" t="inlineStr">
        <is>
          <t>Yes</t>
        </is>
      </c>
      <c r="U38" s="3" t="inlineStr">
        <is>
          <t>Yes</t>
        </is>
      </c>
      <c r="V38" s="3" t="inlineStr">
        <is>
          <t>Yes</t>
        </is>
      </c>
      <c r="W38" s="3" t="inlineStr">
        <is>
          <t>Yes</t>
        </is>
      </c>
      <c r="X38" s="3" t="inlineStr">
        <is>
          <t>Yes</t>
        </is>
      </c>
      <c r="Y38" s="4">
        <f>((K38*600000)+(L38*600000*0.5)+((M38+O38)*140160000)+((N38+O38)*210240000)+500)/350400000</f>
        <v/>
      </c>
      <c r="Z38" s="5">
        <f>(Y38*350400000*12)/1000000</f>
        <v/>
      </c>
      <c r="AA38" s="3">
        <f>IF(Q38&gt;=90,3,IF(Q38&gt;=80,2,IF(Q38&gt;=60,1,0)))+IF(P38&gt;=15,3,IF(P38&gt;=10,2,IF(P38&gt;=5,1,0)))+IF(S38="Yes",2,0)+IF(T38="Yes",2,0)+IF(U38="Yes",2,0)+IF(R38="Yes",1,0)+IF(V38="Yes",1,0)+IF(W38="Yes",2,0)+IF(X38="Yes",1,0)+IF(J38&gt;=50,1,0)</f>
        <v/>
      </c>
      <c r="AB38" s="3">
        <f>IF(AA38&gt;=14,"High",IF(AA38&gt;=8,"Mid","Low"))</f>
        <v/>
      </c>
      <c r="AC38" s="3" t="inlineStr">
        <is>
          <t>Base + SPP + Interim Capacity</t>
        </is>
      </c>
      <c r="AD38" s="3" t="inlineStr">
        <is>
          <t>5+12 year term (17 total)</t>
        </is>
      </c>
    </row>
    <row r="39">
      <c r="A39" s="3" t="n">
        <v>37</v>
      </c>
      <c r="B39" s="3" t="inlineStr">
        <is>
          <t>Consumers Energy</t>
        </is>
      </c>
      <c r="C39" s="3" t="inlineStr">
        <is>
          <t>MI</t>
        </is>
      </c>
      <c r="D39" s="3" t="inlineStr">
        <is>
          <t>Midwest</t>
        </is>
      </c>
      <c r="E39" s="3" t="inlineStr">
        <is>
          <t>MISO</t>
        </is>
      </c>
      <c r="F39" s="3" t="inlineStr">
        <is>
          <t>General Primary Demand</t>
        </is>
      </c>
      <c r="G39" s="3" t="inlineStr">
        <is>
          <t>Schedule GPD</t>
        </is>
      </c>
      <c r="H39" s="3" t="inlineStr">
        <is>
          <t>2025-11-06</t>
        </is>
      </c>
      <c r="I39" s="3" t="inlineStr">
        <is>
          <t>Active</t>
        </is>
      </c>
      <c r="J39" s="3" t="n">
        <v>100</v>
      </c>
      <c r="K39" s="3" t="n">
        <v>9.800000000000001</v>
      </c>
      <c r="L39" s="3" t="n">
        <v>4.2</v>
      </c>
      <c r="M39" s="3" t="n">
        <v>0.042</v>
      </c>
      <c r="N39" s="3" t="n">
        <v>0.03</v>
      </c>
      <c r="O39" s="3" t="n">
        <v>0.015</v>
      </c>
      <c r="P39" s="3" t="n">
        <v>15</v>
      </c>
      <c r="Q39" s="3" t="n">
        <v>80</v>
      </c>
      <c r="R39" s="3" t="inlineStr">
        <is>
          <t>Yes</t>
        </is>
      </c>
      <c r="S39" s="3" t="inlineStr">
        <is>
          <t>Yes</t>
        </is>
      </c>
      <c r="T39" s="3" t="inlineStr">
        <is>
          <t>Yes</t>
        </is>
      </c>
      <c r="U39" s="3" t="inlineStr">
        <is>
          <t>Yes</t>
        </is>
      </c>
      <c r="V39" s="3" t="inlineStr">
        <is>
          <t>Yes</t>
        </is>
      </c>
      <c r="W39" s="3" t="inlineStr">
        <is>
          <t>Yes</t>
        </is>
      </c>
      <c r="X39" s="3" t="inlineStr">
        <is>
          <t>Yes</t>
        </is>
      </c>
      <c r="Y39" s="4">
        <f>((K39*600000)+(L39*600000*0.5)+((M39+O39)*140160000)+((N39+O39)*210240000)+500)/350400000</f>
        <v/>
      </c>
      <c r="Z39" s="5">
        <f>(Y39*350400000*12)/1000000</f>
        <v/>
      </c>
      <c r="AA39" s="3">
        <f>IF(Q39&gt;=90,3,IF(Q39&gt;=80,2,IF(Q39&gt;=60,1,0)))+IF(P39&gt;=15,3,IF(P39&gt;=10,2,IF(P39&gt;=5,1,0)))+IF(S39="Yes",2,0)+IF(T39="Yes",2,0)+IF(U39="Yes",2,0)+IF(R39="Yes",1,0)+IF(V39="Yes",1,0)+IF(W39="Yes",2,0)+IF(X39="Yes",1,0)+IF(J39&gt;=50,1,0)</f>
        <v/>
      </c>
      <c r="AB39" s="3">
        <f>IF(AA39&gt;=14,"High",IF(AA39&gt;=8,"Mid","Low"))</f>
        <v/>
      </c>
      <c r="AC39" s="3" t="inlineStr">
        <is>
          <t>Base + MISO</t>
        </is>
      </c>
      <c r="AD39" s="3" t="inlineStr">
        <is>
          <t>Nov 2025 Data Center Provision: 100MW min threshold. 80% of CONTRACT CAPACITY ratchet (not peak). 15-year term. 4-year termination notice.</t>
        </is>
      </c>
    </row>
    <row r="40">
      <c r="A40" s="3" t="n">
        <v>38</v>
      </c>
      <c r="B40" s="3" t="inlineStr">
        <is>
          <t>DTE Energy</t>
        </is>
      </c>
      <c r="C40" s="3" t="inlineStr">
        <is>
          <t>MI</t>
        </is>
      </c>
      <c r="D40" s="3" t="inlineStr">
        <is>
          <t>Midwest</t>
        </is>
      </c>
      <c r="E40" s="3" t="inlineStr">
        <is>
          <t>MISO</t>
        </is>
      </c>
      <c r="F40" s="3" t="inlineStr">
        <is>
          <t>Primary Supply Agreement</t>
        </is>
      </c>
      <c r="G40" s="3" t="inlineStr">
        <is>
          <t>Schedule D11</t>
        </is>
      </c>
      <c r="H40" s="3" t="inlineStr">
        <is>
          <t>2025-12-18</t>
        </is>
      </c>
      <c r="I40" s="3" t="inlineStr">
        <is>
          <t>Active</t>
        </is>
      </c>
      <c r="J40" s="3" t="n">
        <v>1</v>
      </c>
      <c r="K40" s="3" t="n">
        <v>6.32</v>
      </c>
      <c r="L40" s="3" t="n">
        <v>1.73</v>
      </c>
      <c r="M40" s="3" t="n">
        <v>0.038</v>
      </c>
      <c r="N40" s="3" t="n">
        <v>0.028</v>
      </c>
      <c r="O40" s="3" t="n">
        <v>0.015</v>
      </c>
      <c r="P40" s="3" t="n">
        <v>19</v>
      </c>
      <c r="Q40" s="3" t="n">
        <v>80</v>
      </c>
      <c r="R40" s="3" t="inlineStr">
        <is>
          <t>Yes</t>
        </is>
      </c>
      <c r="S40" s="3" t="inlineStr">
        <is>
          <t>Yes</t>
        </is>
      </c>
      <c r="T40" s="3" t="inlineStr">
        <is>
          <t>Yes</t>
        </is>
      </c>
      <c r="U40" s="3" t="inlineStr">
        <is>
          <t>Yes</t>
        </is>
      </c>
      <c r="V40" s="3" t="inlineStr">
        <is>
          <t>Yes</t>
        </is>
      </c>
      <c r="W40" s="3" t="inlineStr">
        <is>
          <t>Yes</t>
        </is>
      </c>
      <c r="X40" s="3" t="inlineStr">
        <is>
          <t>Yes</t>
        </is>
      </c>
      <c r="Y40" s="4">
        <f>((K40*600000)+(L40*600000*0.5)+((M40+O40)*140160000)+((N40+O40)*210240000)+500)/350400000</f>
        <v/>
      </c>
      <c r="Z40" s="5">
        <f>(Y40*350400000*12)/1000000</f>
        <v/>
      </c>
      <c r="AA40" s="3">
        <f>IF(Q40&gt;=90,3,IF(Q40&gt;=80,2,IF(Q40&gt;=60,1,0)))+IF(P40&gt;=15,3,IF(P40&gt;=10,2,IF(P40&gt;=5,1,0)))+IF(S40="Yes",2,0)+IF(T40="Yes",2,0)+IF(U40="Yes",2,0)+IF(R40="Yes",1,0)+IF(V40="Yes",1,0)+IF(W40="Yes",2,0)+IF(X40="Yes",1,0)+IF(J40&gt;=50,1,0)</f>
        <v/>
      </c>
      <c r="AB40" s="3">
        <f>IF(AA40&gt;=14,"High",IF(AA40&gt;=8,"Mid","Low"))</f>
        <v/>
      </c>
      <c r="AC40" s="3" t="inlineStr">
        <is>
          <t>Base + MISO</t>
        </is>
      </c>
      <c r="AD40" s="3" t="inlineStr">
        <is>
          <t>Oracle/OpenAI 1.4GW facility (U-21990)</t>
        </is>
      </c>
    </row>
    <row r="41">
      <c r="A41" s="3" t="n">
        <v>39</v>
      </c>
      <c r="B41" s="3" t="inlineStr">
        <is>
          <t>We Energies</t>
        </is>
      </c>
      <c r="C41" s="3" t="inlineStr">
        <is>
          <t>WI</t>
        </is>
      </c>
      <c r="D41" s="3" t="inlineStr">
        <is>
          <t>Midwest</t>
        </is>
      </c>
      <c r="E41" s="3" t="inlineStr">
        <is>
          <t>MISO</t>
        </is>
      </c>
      <c r="F41" s="3" t="inlineStr">
        <is>
          <t>Large Load Service</t>
        </is>
      </c>
      <c r="G41" s="3" t="inlineStr">
        <is>
          <t>Cg-3 / Proposed DC Rate</t>
        </is>
      </c>
      <c r="H41" s="3" t="inlineStr">
        <is>
          <t>2025-01-01</t>
        </is>
      </c>
      <c r="I41" s="3" t="inlineStr">
        <is>
          <t>Active</t>
        </is>
      </c>
      <c r="J41" s="3" t="n">
        <v>0.5</v>
      </c>
      <c r="K41" s="3" t="n">
        <v>22.59</v>
      </c>
      <c r="L41" s="3" t="n">
        <v>15.56</v>
      </c>
      <c r="M41" s="3" t="n">
        <v>0.0941</v>
      </c>
      <c r="N41" s="3" t="n">
        <v>0.0612</v>
      </c>
      <c r="O41" s="3" t="n">
        <v>0.008</v>
      </c>
      <c r="P41" s="3" t="n">
        <v>10</v>
      </c>
      <c r="Q41" s="3" t="n">
        <v>80</v>
      </c>
      <c r="R41" s="3" t="inlineStr">
        <is>
          <t>Yes</t>
        </is>
      </c>
      <c r="S41" s="3" t="inlineStr">
        <is>
          <t>Yes</t>
        </is>
      </c>
      <c r="T41" s="3" t="inlineStr">
        <is>
          <t>Yes</t>
        </is>
      </c>
      <c r="U41" s="3" t="inlineStr">
        <is>
          <t>Yes</t>
        </is>
      </c>
      <c r="V41" s="3" t="inlineStr">
        <is>
          <t>Yes</t>
        </is>
      </c>
      <c r="W41" s="3" t="inlineStr">
        <is>
          <t>Yes</t>
        </is>
      </c>
      <c r="X41" s="3" t="inlineStr">
        <is>
          <t>Yes</t>
        </is>
      </c>
      <c r="Y41" s="4">
        <f>((K41*600000)+(L41*600000*0.5)+((M41+O41)*140160000)+((N41+O41)*210240000)+500)/350400000</f>
        <v/>
      </c>
      <c r="Z41" s="5">
        <f>(Y41*350400000*12)/1000000</f>
        <v/>
      </c>
      <c r="AA41" s="3">
        <f>IF(Q41&gt;=90,3,IF(Q41&gt;=80,2,IF(Q41&gt;=60,1,0)))+IF(P41&gt;=15,3,IF(P41&gt;=10,2,IF(P41&gt;=5,1,0)))+IF(S41="Yes",2,0)+IF(T41="Yes",2,0)+IF(U41="Yes",2,0)+IF(R41="Yes",1,0)+IF(V41="Yes",1,0)+IF(W41="Yes",2,0)+IF(X41="Yes",1,0)+IF(J41&gt;=50,1,0)</f>
        <v/>
      </c>
      <c r="AB41" s="3">
        <f>IF(AA41&gt;=14,"High",IF(AA41&gt;=8,"Mid","Low"))</f>
        <v/>
      </c>
      <c r="AC41" s="3" t="inlineStr">
        <is>
          <t>Base + Environmental + MISO</t>
        </is>
      </c>
      <c r="AD41" s="3" t="inlineStr">
        <is>
          <t>CORRECTED: Peak demand updated to $22.587/kW per current tariff book. Impact: ~$500k/yr increase.</t>
        </is>
      </c>
    </row>
    <row r="42">
      <c r="A42" s="3" t="n">
        <v>40</v>
      </c>
      <c r="B42" s="3" t="inlineStr">
        <is>
          <t>Xcel Energy (MN)</t>
        </is>
      </c>
      <c r="C42" s="3" t="inlineStr">
        <is>
          <t>MN</t>
        </is>
      </c>
      <c r="D42" s="3" t="inlineStr">
        <is>
          <t>Midwest</t>
        </is>
      </c>
      <c r="E42" s="3" t="inlineStr">
        <is>
          <t>MISO</t>
        </is>
      </c>
      <c r="F42" s="3" t="inlineStr">
        <is>
          <t>Large General Service</t>
        </is>
      </c>
      <c r="G42" s="3" t="inlineStr">
        <is>
          <t>Rate Book Schedule</t>
        </is>
      </c>
      <c r="H42" s="3" t="inlineStr">
        <is>
          <t>2025-01-01</t>
        </is>
      </c>
      <c r="I42" s="3" t="inlineStr">
        <is>
          <t>Active</t>
        </is>
      </c>
      <c r="J42" s="3" t="n">
        <v>1</v>
      </c>
      <c r="K42" s="3" t="n">
        <v>8.9</v>
      </c>
      <c r="L42" s="3" t="n">
        <v>3.6</v>
      </c>
      <c r="M42" s="3" t="n">
        <v>0.045</v>
      </c>
      <c r="N42" s="3" t="n">
        <v>0.032</v>
      </c>
      <c r="O42" s="3" t="n">
        <v>0.015</v>
      </c>
      <c r="P42" s="3" t="n">
        <v>5</v>
      </c>
      <c r="Q42" s="3" t="n">
        <v>0</v>
      </c>
      <c r="R42" s="3" t="inlineStr">
        <is>
          <t>Yes</t>
        </is>
      </c>
      <c r="S42" s="3" t="inlineStr">
        <is>
          <t>Yes</t>
        </is>
      </c>
      <c r="T42" s="3" t="inlineStr">
        <is>
          <t>No</t>
        </is>
      </c>
      <c r="U42" s="3" t="inlineStr">
        <is>
          <t>No</t>
        </is>
      </c>
      <c r="V42" s="3" t="inlineStr">
        <is>
          <t>Yes</t>
        </is>
      </c>
      <c r="W42" s="3" t="inlineStr">
        <is>
          <t>No</t>
        </is>
      </c>
      <c r="X42" s="3" t="inlineStr">
        <is>
          <t>No</t>
        </is>
      </c>
      <c r="Y42" s="4">
        <f>((K42*600000)+(L42*600000*0.5)+((M42+O42)*140160000)+((N42+O42)*210240000)+500)/350400000</f>
        <v/>
      </c>
      <c r="Z42" s="5">
        <f>(Y42*350400000*12)/1000000</f>
        <v/>
      </c>
      <c r="AA42" s="3">
        <f>IF(Q42&gt;=90,3,IF(Q42&gt;=80,2,IF(Q42&gt;=60,1,0)))+IF(P42&gt;=15,3,IF(P42&gt;=10,2,IF(P42&gt;=5,1,0)))+IF(S42="Yes",2,0)+IF(T42="Yes",2,0)+IF(U42="Yes",2,0)+IF(R42="Yes",1,0)+IF(V42="Yes",1,0)+IF(W42="Yes",2,0)+IF(X42="Yes",1,0)+IF(J42&gt;=50,1,0)</f>
        <v/>
      </c>
      <c r="AB42" s="3">
        <f>IF(AA42&gt;=14,"High",IF(AA42&gt;=8,"Mid","Low"))</f>
        <v/>
      </c>
      <c r="AC42" s="3" t="inlineStr">
        <is>
          <t>Base + Fuel Adj</t>
        </is>
      </c>
      <c r="AD42" s="3" t="inlineStr">
        <is>
          <t>5.8GW pending DC applications</t>
        </is>
      </c>
    </row>
    <row r="43">
      <c r="A43" s="3" t="n">
        <v>41</v>
      </c>
      <c r="B43" s="3" t="inlineStr">
        <is>
          <t>Xcel Energy (CO)</t>
        </is>
      </c>
      <c r="C43" s="3" t="inlineStr">
        <is>
          <t>CO</t>
        </is>
      </c>
      <c r="D43" s="3" t="inlineStr">
        <is>
          <t>Mountain West</t>
        </is>
      </c>
      <c r="E43" s="3" t="inlineStr">
        <is>
          <t>None</t>
        </is>
      </c>
      <c r="F43" s="3" t="inlineStr">
        <is>
          <t>Large General Service</t>
        </is>
      </c>
      <c r="G43" s="3" t="inlineStr">
        <is>
          <t>Schedule SG</t>
        </is>
      </c>
      <c r="H43" s="3" t="inlineStr">
        <is>
          <t>2025-01-01</t>
        </is>
      </c>
      <c r="I43" s="3" t="inlineStr">
        <is>
          <t>Active</t>
        </is>
      </c>
      <c r="J43" s="3" t="n">
        <v>1</v>
      </c>
      <c r="K43" s="3" t="n">
        <v>10.2</v>
      </c>
      <c r="L43" s="3" t="n">
        <v>4.5</v>
      </c>
      <c r="M43" s="3" t="n">
        <v>0.052</v>
      </c>
      <c r="N43" s="3" t="n">
        <v>0.035</v>
      </c>
      <c r="O43" s="3" t="n">
        <v>0.015</v>
      </c>
      <c r="P43" s="3" t="n">
        <v>15</v>
      </c>
      <c r="Q43" s="3" t="n">
        <v>80</v>
      </c>
      <c r="R43" s="3" t="inlineStr">
        <is>
          <t>Yes</t>
        </is>
      </c>
      <c r="S43" s="3" t="inlineStr">
        <is>
          <t>Yes</t>
        </is>
      </c>
      <c r="T43" s="3" t="inlineStr">
        <is>
          <t>Yes</t>
        </is>
      </c>
      <c r="U43" s="3" t="inlineStr">
        <is>
          <t>Yes</t>
        </is>
      </c>
      <c r="V43" s="3" t="inlineStr">
        <is>
          <t>Yes</t>
        </is>
      </c>
      <c r="W43" s="3" t="inlineStr">
        <is>
          <t>Yes</t>
        </is>
      </c>
      <c r="X43" s="3" t="inlineStr">
        <is>
          <t>Yes</t>
        </is>
      </c>
      <c r="Y43" s="4">
        <f>((K43*600000)+(L43*600000*0.5)+((M43+O43)*140160000)+((N43+O43)*210240000)+500)/350400000</f>
        <v/>
      </c>
      <c r="Z43" s="5">
        <f>(Y43*350400000*12)/1000000</f>
        <v/>
      </c>
      <c r="AA43" s="3">
        <f>IF(Q43&gt;=90,3,IF(Q43&gt;=80,2,IF(Q43&gt;=60,1,0)))+IF(P43&gt;=15,3,IF(P43&gt;=10,2,IF(P43&gt;=5,1,0)))+IF(S43="Yes",2,0)+IF(T43="Yes",2,0)+IF(U43="Yes",2,0)+IF(R43="Yes",1,0)+IF(V43="Yes",1,0)+IF(W43="Yes",2,0)+IF(X43="Yes",1,0)+IF(J43&gt;=50,1,0)</f>
        <v/>
      </c>
      <c r="AB43" s="3">
        <f>IF(AA43&gt;=14,"High",IF(AA43&gt;=8,"Mid","Low"))</f>
        <v/>
      </c>
      <c r="AC43" s="3" t="inlineStr">
        <is>
          <t>Base + Fuel + Transmission</t>
        </is>
      </c>
      <c r="AD43" s="3" t="inlineStr">
        <is>
          <t>60% of retail growth from DC through 2030</t>
        </is>
      </c>
    </row>
    <row r="44">
      <c r="A44" s="3" t="n">
        <v>42</v>
      </c>
      <c r="B44" s="3" t="inlineStr">
        <is>
          <t>LG&amp;E/KU (PPL)</t>
        </is>
      </c>
      <c r="C44" s="3" t="inlineStr">
        <is>
          <t>KY</t>
        </is>
      </c>
      <c r="D44" s="3" t="inlineStr">
        <is>
          <t>Midwest</t>
        </is>
      </c>
      <c r="E44" s="3" t="inlineStr">
        <is>
          <t>MISO</t>
        </is>
      </c>
      <c r="F44" s="3" t="inlineStr">
        <is>
          <t>Extremely High Load Factor</t>
        </is>
      </c>
      <c r="G44" s="3" t="inlineStr">
        <is>
          <t>Schedule EHLF</t>
        </is>
      </c>
      <c r="H44" s="3" t="inlineStr">
        <is>
          <t>2025-01-01</t>
        </is>
      </c>
      <c r="I44" s="3" t="inlineStr">
        <is>
          <t>Active</t>
        </is>
      </c>
      <c r="J44" s="3" t="n">
        <v>100</v>
      </c>
      <c r="K44" s="3" t="n">
        <v>15</v>
      </c>
      <c r="L44" s="3" t="n">
        <v>6.5</v>
      </c>
      <c r="M44" s="3" t="n">
        <v>0.048</v>
      </c>
      <c r="N44" s="3" t="n">
        <v>0.035</v>
      </c>
      <c r="O44" s="3" t="n">
        <v>0.012</v>
      </c>
      <c r="P44" s="3" t="n">
        <v>15</v>
      </c>
      <c r="Q44" s="3" t="n">
        <v>80</v>
      </c>
      <c r="R44" s="3" t="inlineStr">
        <is>
          <t>Yes</t>
        </is>
      </c>
      <c r="S44" s="3" t="inlineStr">
        <is>
          <t>Yes</t>
        </is>
      </c>
      <c r="T44" s="3" t="inlineStr">
        <is>
          <t>Yes</t>
        </is>
      </c>
      <c r="U44" s="3" t="inlineStr">
        <is>
          <t>Yes</t>
        </is>
      </c>
      <c r="V44" s="3" t="inlineStr">
        <is>
          <t>Yes</t>
        </is>
      </c>
      <c r="W44" s="3" t="inlineStr">
        <is>
          <t>Yes</t>
        </is>
      </c>
      <c r="X44" s="3" t="inlineStr">
        <is>
          <t>Yes</t>
        </is>
      </c>
      <c r="Y44" s="4">
        <f>((K44*600000)+(L44*600000*0.5)+((M44+O44)*140160000)+((N44+O44)*210240000)+500)/350400000</f>
        <v/>
      </c>
      <c r="Z44" s="5">
        <f>(Y44*350400000*12)/1000000</f>
        <v/>
      </c>
      <c r="AA44" s="3">
        <f>IF(Q44&gt;=90,3,IF(Q44&gt;=80,2,IF(Q44&gt;=60,1,0)))+IF(P44&gt;=15,3,IF(P44&gt;=10,2,IF(P44&gt;=5,1,0)))+IF(S44="Yes",2,0)+IF(T44="Yes",2,0)+IF(U44="Yes",2,0)+IF(R44="Yes",1,0)+IF(V44="Yes",1,0)+IF(W44="Yes",2,0)+IF(X44="Yes",1,0)+IF(J44&gt;=50,1,0)</f>
        <v/>
      </c>
      <c r="AB44" s="3">
        <f>IF(AA44&gt;=14,"High",IF(AA44&gt;=8,"Mid","Low"))</f>
        <v/>
      </c>
      <c r="AC44" s="3" t="inlineStr">
        <is>
          <t>Base + Fuel Adj</t>
        </is>
      </c>
      <c r="AD44" s="3" t="inlineStr">
        <is>
          <t>100MW min; 15-year term</t>
        </is>
      </c>
    </row>
    <row r="45">
      <c r="A45" s="3" t="n">
        <v>43</v>
      </c>
      <c r="B45" s="3" t="inlineStr">
        <is>
          <t>MidAmerican Energy</t>
        </is>
      </c>
      <c r="C45" s="3" t="inlineStr">
        <is>
          <t>IA</t>
        </is>
      </c>
      <c r="D45" s="3" t="inlineStr">
        <is>
          <t>Midwest</t>
        </is>
      </c>
      <c r="E45" s="3" t="inlineStr">
        <is>
          <t>MISO</t>
        </is>
      </c>
      <c r="F45" s="3" t="inlineStr">
        <is>
          <t>Large General Service</t>
        </is>
      </c>
      <c r="G45" s="3" t="inlineStr">
        <is>
          <t>Schedule LGS</t>
        </is>
      </c>
      <c r="H45" s="3" t="inlineStr">
        <is>
          <t>2025-01-01</t>
        </is>
      </c>
      <c r="I45" s="3" t="inlineStr">
        <is>
          <t>Active</t>
        </is>
      </c>
      <c r="J45" s="3" t="n">
        <v>1</v>
      </c>
      <c r="K45" s="3" t="n">
        <v>6.8</v>
      </c>
      <c r="L45" s="3" t="n">
        <v>2.5</v>
      </c>
      <c r="M45" s="3" t="n">
        <v>0.038</v>
      </c>
      <c r="N45" s="3" t="n">
        <v>0.028</v>
      </c>
      <c r="O45" s="3" t="n">
        <v>0.012</v>
      </c>
      <c r="P45" s="3" t="n">
        <v>5</v>
      </c>
      <c r="Q45" s="3" t="n">
        <v>0</v>
      </c>
      <c r="R45" s="3" t="inlineStr">
        <is>
          <t>Yes</t>
        </is>
      </c>
      <c r="S45" s="3" t="inlineStr">
        <is>
          <t>Yes</t>
        </is>
      </c>
      <c r="T45" s="3" t="inlineStr">
        <is>
          <t>No</t>
        </is>
      </c>
      <c r="U45" s="3" t="inlineStr">
        <is>
          <t>No</t>
        </is>
      </c>
      <c r="V45" s="3" t="inlineStr">
        <is>
          <t>Yes</t>
        </is>
      </c>
      <c r="W45" s="3" t="inlineStr">
        <is>
          <t>No</t>
        </is>
      </c>
      <c r="X45" s="3" t="inlineStr">
        <is>
          <t>No</t>
        </is>
      </c>
      <c r="Y45" s="4">
        <f>((K45*600000)+(L45*600000*0.5)+((M45+O45)*140160000)+((N45+O45)*210240000)+500)/350400000</f>
        <v/>
      </c>
      <c r="Z45" s="5">
        <f>(Y45*350400000*12)/1000000</f>
        <v/>
      </c>
      <c r="AA45" s="3">
        <f>IF(Q45&gt;=90,3,IF(Q45&gt;=80,2,IF(Q45&gt;=60,1,0)))+IF(P45&gt;=15,3,IF(P45&gt;=10,2,IF(P45&gt;=5,1,0)))+IF(S45="Yes",2,0)+IF(T45="Yes",2,0)+IF(U45="Yes",2,0)+IF(R45="Yes",1,0)+IF(V45="Yes",1,0)+IF(W45="Yes",2,0)+IF(X45="Yes",1,0)+IF(J45&gt;=50,1,0)</f>
        <v/>
      </c>
      <c r="AB45" s="3">
        <f>IF(AA45&gt;=14,"High",IF(AA45&gt;=8,"Mid","Low"))</f>
        <v/>
      </c>
      <c r="AC45" s="3" t="inlineStr">
        <is>
          <t>Base + ECA</t>
        </is>
      </c>
      <c r="AD45" s="3" t="inlineStr">
        <is>
          <t>BHE subsidiary; wind-heavy portfolio</t>
        </is>
      </c>
    </row>
    <row r="46">
      <c r="A46" s="3" t="n">
        <v>44</v>
      </c>
      <c r="B46" s="3" t="inlineStr">
        <is>
          <t>Alliant Energy (WPL)</t>
        </is>
      </c>
      <c r="C46" s="3" t="inlineStr">
        <is>
          <t>WI</t>
        </is>
      </c>
      <c r="D46" s="3" t="inlineStr">
        <is>
          <t>Midwest</t>
        </is>
      </c>
      <c r="E46" s="3" t="inlineStr">
        <is>
          <t>MISO</t>
        </is>
      </c>
      <c r="F46" s="3" t="inlineStr">
        <is>
          <t>Large General Primary</t>
        </is>
      </c>
      <c r="G46" s="3" t="inlineStr">
        <is>
          <t>Cp-1</t>
        </is>
      </c>
      <c r="H46" s="3" t="inlineStr">
        <is>
          <t>2025-01-01</t>
        </is>
      </c>
      <c r="I46" s="3" t="inlineStr">
        <is>
          <t>Active</t>
        </is>
      </c>
      <c r="J46" s="3" t="n">
        <v>1</v>
      </c>
      <c r="K46" s="3" t="n">
        <v>8.199999999999999</v>
      </c>
      <c r="L46" s="3" t="n">
        <v>3.4</v>
      </c>
      <c r="M46" s="3" t="n">
        <v>0.045</v>
      </c>
      <c r="N46" s="3" t="n">
        <v>0.032</v>
      </c>
      <c r="O46" s="3" t="n">
        <v>0.015</v>
      </c>
      <c r="P46" s="3" t="n">
        <v>5</v>
      </c>
      <c r="Q46" s="3" t="n">
        <v>0</v>
      </c>
      <c r="R46" s="3" t="inlineStr">
        <is>
          <t>Yes</t>
        </is>
      </c>
      <c r="S46" s="3" t="inlineStr">
        <is>
          <t>Yes</t>
        </is>
      </c>
      <c r="T46" s="3" t="inlineStr">
        <is>
          <t>No</t>
        </is>
      </c>
      <c r="U46" s="3" t="inlineStr">
        <is>
          <t>No</t>
        </is>
      </c>
      <c r="V46" s="3" t="inlineStr">
        <is>
          <t>Yes</t>
        </is>
      </c>
      <c r="W46" s="3" t="inlineStr">
        <is>
          <t>No</t>
        </is>
      </c>
      <c r="X46" s="3" t="inlineStr">
        <is>
          <t>No</t>
        </is>
      </c>
      <c r="Y46" s="4">
        <f>((K46*600000)+(L46*600000*0.5)+((M46+O46)*140160000)+((N46+O46)*210240000)+500)/350400000</f>
        <v/>
      </c>
      <c r="Z46" s="5">
        <f>(Y46*350400000*12)/1000000</f>
        <v/>
      </c>
      <c r="AA46" s="3">
        <f>IF(Q46&gt;=90,3,IF(Q46&gt;=80,2,IF(Q46&gt;=60,1,0)))+IF(P46&gt;=15,3,IF(P46&gt;=10,2,IF(P46&gt;=5,1,0)))+IF(S46="Yes",2,0)+IF(T46="Yes",2,0)+IF(U46="Yes",2,0)+IF(R46="Yes",1,0)+IF(V46="Yes",1,0)+IF(W46="Yes",2,0)+IF(X46="Yes",1,0)+IF(J46&gt;=50,1,0)</f>
        <v/>
      </c>
      <c r="AB46" s="3">
        <f>IF(AA46&gt;=14,"High",IF(AA46&gt;=8,"Mid","Low"))</f>
        <v/>
      </c>
      <c r="AC46" s="3" t="inlineStr">
        <is>
          <t>Base + Fuel Adj</t>
        </is>
      </c>
      <c r="AD46" s="3" t="inlineStr">
        <is>
          <t>Wisconsin Power &amp; Light</t>
        </is>
      </c>
    </row>
    <row r="47">
      <c r="A47" s="3" t="n">
        <v>45</v>
      </c>
      <c r="B47" s="3" t="inlineStr">
        <is>
          <t>Otter Tail Power</t>
        </is>
      </c>
      <c r="C47" s="3" t="inlineStr">
        <is>
          <t>MN/ND/SD</t>
        </is>
      </c>
      <c r="D47" s="3" t="inlineStr">
        <is>
          <t>Midwest</t>
        </is>
      </c>
      <c r="E47" s="3" t="inlineStr">
        <is>
          <t>MISO</t>
        </is>
      </c>
      <c r="F47" s="3" t="inlineStr">
        <is>
          <t>Large General Service</t>
        </is>
      </c>
      <c r="G47" s="3" t="inlineStr">
        <is>
          <t>Schedule 20</t>
        </is>
      </c>
      <c r="H47" s="3" t="inlineStr">
        <is>
          <t>2025-01-01</t>
        </is>
      </c>
      <c r="I47" s="3" t="inlineStr">
        <is>
          <t>Active</t>
        </is>
      </c>
      <c r="J47" s="3" t="n">
        <v>0.5</v>
      </c>
      <c r="K47" s="3" t="n">
        <v>7.5</v>
      </c>
      <c r="L47" s="3" t="n">
        <v>2.8</v>
      </c>
      <c r="M47" s="3" t="n">
        <v>0.042</v>
      </c>
      <c r="N47" s="3" t="n">
        <v>0.03</v>
      </c>
      <c r="O47" s="3" t="n">
        <v>0.015</v>
      </c>
      <c r="P47" s="3" t="n">
        <v>5</v>
      </c>
      <c r="Q47" s="3" t="n">
        <v>0</v>
      </c>
      <c r="R47" s="3" t="inlineStr">
        <is>
          <t>Yes</t>
        </is>
      </c>
      <c r="S47" s="3" t="inlineStr">
        <is>
          <t>Yes</t>
        </is>
      </c>
      <c r="T47" s="3" t="inlineStr">
        <is>
          <t>No</t>
        </is>
      </c>
      <c r="U47" s="3" t="inlineStr">
        <is>
          <t>No</t>
        </is>
      </c>
      <c r="V47" s="3" t="inlineStr">
        <is>
          <t>Yes</t>
        </is>
      </c>
      <c r="W47" s="3" t="inlineStr">
        <is>
          <t>No</t>
        </is>
      </c>
      <c r="X47" s="3" t="inlineStr">
        <is>
          <t>No</t>
        </is>
      </c>
      <c r="Y47" s="4">
        <f>((K47*600000)+(L47*600000*0.5)+((M47+O47)*140160000)+((N47+O47)*210240000)+500)/350400000</f>
        <v/>
      </c>
      <c r="Z47" s="5">
        <f>(Y47*350400000*12)/1000000</f>
        <v/>
      </c>
      <c r="AA47" s="3">
        <f>IF(Q47&gt;=90,3,IF(Q47&gt;=80,2,IF(Q47&gt;=60,1,0)))+IF(P47&gt;=15,3,IF(P47&gt;=10,2,IF(P47&gt;=5,1,0)))+IF(S47="Yes",2,0)+IF(T47="Yes",2,0)+IF(U47="Yes",2,0)+IF(R47="Yes",1,0)+IF(V47="Yes",1,0)+IF(W47="Yes",2,0)+IF(X47="Yes",1,0)+IF(J47&gt;=50,1,0)</f>
        <v/>
      </c>
      <c r="AB47" s="3">
        <f>IF(AA47&gt;=14,"High",IF(AA47&gt;=8,"Mid","Low"))</f>
        <v/>
      </c>
      <c r="AC47" s="3" t="inlineStr">
        <is>
          <t>Base + FCA</t>
        </is>
      </c>
      <c r="AD47" s="3" t="inlineStr">
        <is>
          <t>Rural utility; 3-state territory</t>
        </is>
      </c>
    </row>
    <row r="48">
      <c r="A48" s="3" t="n">
        <v>46</v>
      </c>
      <c r="B48" s="3" t="inlineStr">
        <is>
          <t>Nebraska Public Power District</t>
        </is>
      </c>
      <c r="C48" s="3" t="inlineStr">
        <is>
          <t>NE</t>
        </is>
      </c>
      <c r="D48" s="3" t="inlineStr">
        <is>
          <t>Plains</t>
        </is>
      </c>
      <c r="E48" s="3" t="inlineStr">
        <is>
          <t>SPP</t>
        </is>
      </c>
      <c r="F48" s="3" t="inlineStr">
        <is>
          <t>Large Power Service</t>
        </is>
      </c>
      <c r="G48" s="3" t="inlineStr">
        <is>
          <t>Schedule LP</t>
        </is>
      </c>
      <c r="H48" s="3" t="inlineStr">
        <is>
          <t>2025-01-01</t>
        </is>
      </c>
      <c r="I48" s="3" t="inlineStr">
        <is>
          <t>Active</t>
        </is>
      </c>
      <c r="J48" s="3" t="n">
        <v>1</v>
      </c>
      <c r="K48" s="3" t="n">
        <v>5.8</v>
      </c>
      <c r="L48" s="3" t="n">
        <v>2.2</v>
      </c>
      <c r="M48" s="3" t="n">
        <v>0.035</v>
      </c>
      <c r="N48" s="3" t="n">
        <v>0.025</v>
      </c>
      <c r="O48" s="3" t="n">
        <v>0.012</v>
      </c>
      <c r="P48" s="3" t="n">
        <v>5</v>
      </c>
      <c r="Q48" s="3" t="n">
        <v>0</v>
      </c>
      <c r="R48" s="3" t="inlineStr">
        <is>
          <t>Yes</t>
        </is>
      </c>
      <c r="S48" s="3" t="inlineStr">
        <is>
          <t>Yes</t>
        </is>
      </c>
      <c r="T48" s="3" t="inlineStr">
        <is>
          <t>No</t>
        </is>
      </c>
      <c r="U48" s="3" t="inlineStr">
        <is>
          <t>No</t>
        </is>
      </c>
      <c r="V48" s="3" t="inlineStr">
        <is>
          <t>Yes</t>
        </is>
      </c>
      <c r="W48" s="3" t="inlineStr">
        <is>
          <t>No</t>
        </is>
      </c>
      <c r="X48" s="3" t="inlineStr">
        <is>
          <t>No</t>
        </is>
      </c>
      <c r="Y48" s="4">
        <f>((K48*600000)+(L48*600000*0.5)+((M48+O48)*140160000)+((N48+O48)*210240000)+500)/350400000</f>
        <v/>
      </c>
      <c r="Z48" s="5">
        <f>(Y48*350400000*12)/1000000</f>
        <v/>
      </c>
      <c r="AA48" s="3">
        <f>IF(Q48&gt;=90,3,IF(Q48&gt;=80,2,IF(Q48&gt;=60,1,0)))+IF(P48&gt;=15,3,IF(P48&gt;=10,2,IF(P48&gt;=5,1,0)))+IF(S48="Yes",2,0)+IF(T48="Yes",2,0)+IF(U48="Yes",2,0)+IF(R48="Yes",1,0)+IF(V48="Yes",1,0)+IF(W48="Yes",2,0)+IF(X48="Yes",1,0)+IF(J48&gt;=50,1,0)</f>
        <v/>
      </c>
      <c r="AB48" s="3">
        <f>IF(AA48&gt;=14,"High",IF(AA48&gt;=8,"Mid","Low"))</f>
        <v/>
      </c>
      <c r="AC48" s="3" t="inlineStr">
        <is>
          <t>Base + PCA</t>
        </is>
      </c>
      <c r="AD48" s="3" t="inlineStr">
        <is>
          <t>Public power district</t>
        </is>
      </c>
    </row>
    <row r="49">
      <c r="A49" s="3" t="n">
        <v>47</v>
      </c>
      <c r="B49" s="3" t="inlineStr">
        <is>
          <t>OPPD (Omaha Public Power)</t>
        </is>
      </c>
      <c r="C49" s="3" t="inlineStr">
        <is>
          <t>NE</t>
        </is>
      </c>
      <c r="D49" s="3" t="inlineStr">
        <is>
          <t>Plains</t>
        </is>
      </c>
      <c r="E49" s="3" t="inlineStr">
        <is>
          <t>SPP</t>
        </is>
      </c>
      <c r="F49" s="3" t="inlineStr">
        <is>
          <t>Large Power</t>
        </is>
      </c>
      <c r="G49" s="3" t="inlineStr">
        <is>
          <t>Rate 261</t>
        </is>
      </c>
      <c r="H49" s="3" t="inlineStr">
        <is>
          <t>2025-01-01</t>
        </is>
      </c>
      <c r="I49" s="3" t="inlineStr">
        <is>
          <t>Active</t>
        </is>
      </c>
      <c r="J49" s="3" t="n">
        <v>1</v>
      </c>
      <c r="K49" s="3" t="n">
        <v>6.2</v>
      </c>
      <c r="L49" s="3" t="n">
        <v>2.4</v>
      </c>
      <c r="M49" s="3" t="n">
        <v>0.038</v>
      </c>
      <c r="N49" s="3" t="n">
        <v>0.028</v>
      </c>
      <c r="O49" s="3" t="n">
        <v>0.012</v>
      </c>
      <c r="P49" s="3" t="n">
        <v>5</v>
      </c>
      <c r="Q49" s="3" t="n">
        <v>0</v>
      </c>
      <c r="R49" s="3" t="inlineStr">
        <is>
          <t>Yes</t>
        </is>
      </c>
      <c r="S49" s="3" t="inlineStr">
        <is>
          <t>Yes</t>
        </is>
      </c>
      <c r="T49" s="3" t="inlineStr">
        <is>
          <t>No</t>
        </is>
      </c>
      <c r="U49" s="3" t="inlineStr">
        <is>
          <t>No</t>
        </is>
      </c>
      <c r="V49" s="3" t="inlineStr">
        <is>
          <t>Yes</t>
        </is>
      </c>
      <c r="W49" s="3" t="inlineStr">
        <is>
          <t>No</t>
        </is>
      </c>
      <c r="X49" s="3" t="inlineStr">
        <is>
          <t>No</t>
        </is>
      </c>
      <c r="Y49" s="4">
        <f>((K49*600000)+(L49*600000*0.5)+((M49+O49)*140160000)+((N49+O49)*210240000)+500)/350400000</f>
        <v/>
      </c>
      <c r="Z49" s="5">
        <f>(Y49*350400000*12)/1000000</f>
        <v/>
      </c>
      <c r="AA49" s="3">
        <f>IF(Q49&gt;=90,3,IF(Q49&gt;=80,2,IF(Q49&gt;=60,1,0)))+IF(P49&gt;=15,3,IF(P49&gt;=10,2,IF(P49&gt;=5,1,0)))+IF(S49="Yes",2,0)+IF(T49="Yes",2,0)+IF(U49="Yes",2,0)+IF(R49="Yes",1,0)+IF(V49="Yes",1,0)+IF(W49="Yes",2,0)+IF(X49="Yes",1,0)+IF(J49&gt;=50,1,0)</f>
        <v/>
      </c>
      <c r="AB49" s="3">
        <f>IF(AA49&gt;=14,"High",IF(AA49&gt;=8,"Mid","Low"))</f>
        <v/>
      </c>
      <c r="AC49" s="3" t="inlineStr">
        <is>
          <t>Base + Fuel Adj</t>
        </is>
      </c>
      <c r="AD49" s="3" t="inlineStr">
        <is>
          <t>Omaha metro</t>
        </is>
      </c>
    </row>
    <row r="50">
      <c r="A50" s="3" t="n">
        <v>48</v>
      </c>
      <c r="B50" s="3" t="inlineStr">
        <is>
          <t>Black Hills Energy (SD)</t>
        </is>
      </c>
      <c r="C50" s="3" t="inlineStr">
        <is>
          <t>SD</t>
        </is>
      </c>
      <c r="D50" s="3" t="inlineStr">
        <is>
          <t>Mountain West</t>
        </is>
      </c>
      <c r="E50" s="3" t="inlineStr">
        <is>
          <t>None</t>
        </is>
      </c>
      <c r="F50" s="3" t="inlineStr">
        <is>
          <t>Blockchain/Economic Flexible Load</t>
        </is>
      </c>
      <c r="G50" s="3" t="inlineStr">
        <is>
          <t>BCIS Tariff (Docket EL25-019)</t>
        </is>
      </c>
      <c r="H50" s="3" t="inlineStr">
        <is>
          <t>2026-01-28</t>
        </is>
      </c>
      <c r="I50" s="3" t="inlineStr">
        <is>
          <t>Active</t>
        </is>
      </c>
      <c r="J50" s="3" t="n">
        <v>10</v>
      </c>
      <c r="K50" s="3" t="n">
        <v>0</v>
      </c>
      <c r="L50" s="3" t="n">
        <v>0</v>
      </c>
      <c r="M50" s="3" t="n">
        <v>0.045</v>
      </c>
      <c r="N50" s="3" t="n">
        <v>0.045</v>
      </c>
      <c r="O50" s="3" t="n">
        <v>0.015</v>
      </c>
      <c r="P50" s="3" t="n">
        <v>2</v>
      </c>
      <c r="Q50" s="3" t="n">
        <v>0</v>
      </c>
      <c r="R50" s="3" t="inlineStr">
        <is>
          <t>No</t>
        </is>
      </c>
      <c r="S50" s="3" t="inlineStr">
        <is>
          <t>Yes</t>
        </is>
      </c>
      <c r="T50" s="3" t="inlineStr">
        <is>
          <t>No</t>
        </is>
      </c>
      <c r="U50" s="3" t="inlineStr">
        <is>
          <t>No</t>
        </is>
      </c>
      <c r="V50" s="3" t="inlineStr">
        <is>
          <t>Yes</t>
        </is>
      </c>
      <c r="W50" s="3" t="inlineStr">
        <is>
          <t>Yes</t>
        </is>
      </c>
      <c r="X50" s="3" t="inlineStr">
        <is>
          <t>No</t>
        </is>
      </c>
      <c r="Y50" s="4">
        <f>((K50*600000)+(L50*600000*0.5)+((M50+O50)*140160000)+((N50+O50)*210240000)+500)/350400000</f>
        <v/>
      </c>
      <c r="Z50" s="5">
        <f>(Y50*350400000*12)/1000000</f>
        <v/>
      </c>
      <c r="AA50" s="3">
        <f>IF(Q50&gt;=90,3,IF(Q50&gt;=80,2,IF(Q50&gt;=60,1,0)))+IF(P50&gt;=15,3,IF(P50&gt;=10,2,IF(P50&gt;=5,1,0)))+IF(S50="Yes",2,0)+IF(T50="Yes",2,0)+IF(U50="Yes",2,0)+IF(R50="Yes",1,0)+IF(V50="Yes",1,0)+IF(W50="Yes",2,0)+IF(X50="Yes",1,0)+IF(J50&gt;=50,1,0)</f>
        <v/>
      </c>
      <c r="AB50" s="3">
        <f>IF(AA50&gt;=14,"High",IF(AA50&gt;=8,"Mid","Low"))</f>
        <v/>
      </c>
      <c r="AC50" s="3" t="inlineStr">
        <is>
          <t>Energy-only (interruptible)</t>
        </is>
      </c>
      <c r="AD50" s="3" t="inlineStr">
        <is>
          <t>BCIS (Blockchain Interruptible Service) / EFLS approved 1/28/2026. 15-min curtailment notice. Energy-only rate.</t>
        </is>
      </c>
    </row>
    <row r="51">
      <c r="A51" s="3" t="n">
        <v>49</v>
      </c>
      <c r="B51" s="3" t="inlineStr">
        <is>
          <t>Black Hills Energy (WY)</t>
        </is>
      </c>
      <c r="C51" s="3" t="inlineStr">
        <is>
          <t>WY</t>
        </is>
      </c>
      <c r="D51" s="3" t="inlineStr">
        <is>
          <t>Mountain West</t>
        </is>
      </c>
      <c r="E51" s="3" t="inlineStr">
        <is>
          <t>None</t>
        </is>
      </c>
      <c r="F51" s="3" t="inlineStr">
        <is>
          <t>Large Power Contract</t>
        </is>
      </c>
      <c r="G51" s="3" t="inlineStr">
        <is>
          <t>Schedule LPC</t>
        </is>
      </c>
      <c r="H51" s="3" t="inlineStr">
        <is>
          <t>2019-01-01</t>
        </is>
      </c>
      <c r="I51" s="3" t="inlineStr">
        <is>
          <t>Active</t>
        </is>
      </c>
      <c r="J51" s="3" t="n">
        <v>13</v>
      </c>
      <c r="K51" s="3" t="n">
        <v>5.5</v>
      </c>
      <c r="L51" s="3" t="n">
        <v>2.2</v>
      </c>
      <c r="M51" s="3" t="n">
        <v>0.042</v>
      </c>
      <c r="N51" s="3" t="n">
        <v>0.032</v>
      </c>
      <c r="O51" s="3" t="n">
        <v>0.012</v>
      </c>
      <c r="P51" s="3" t="n">
        <v>3</v>
      </c>
      <c r="Q51" s="3" t="n">
        <v>0</v>
      </c>
      <c r="R51" s="3" t="inlineStr">
        <is>
          <t>No</t>
        </is>
      </c>
      <c r="S51" s="3" t="inlineStr">
        <is>
          <t>Yes</t>
        </is>
      </c>
      <c r="T51" s="3" t="inlineStr">
        <is>
          <t>No</t>
        </is>
      </c>
      <c r="U51" s="3" t="inlineStr">
        <is>
          <t>No</t>
        </is>
      </c>
      <c r="V51" s="3" t="inlineStr">
        <is>
          <t>Yes</t>
        </is>
      </c>
      <c r="W51" s="3" t="inlineStr">
        <is>
          <t>Yes</t>
        </is>
      </c>
      <c r="X51" s="3" t="inlineStr">
        <is>
          <t>No</t>
        </is>
      </c>
      <c r="Y51" s="4">
        <f>((K51*600000)+(L51*600000*0.5)+((M51+O51)*140160000)+((N51+O51)*210240000)+500)/350400000</f>
        <v/>
      </c>
      <c r="Z51" s="5">
        <f>(Y51*350400000*12)/1000000</f>
        <v/>
      </c>
      <c r="AA51" s="3">
        <f>IF(Q51&gt;=90,3,IF(Q51&gt;=80,2,IF(Q51&gt;=60,1,0)))+IF(P51&gt;=15,3,IF(P51&gt;=10,2,IF(P51&gt;=5,1,0)))+IF(S51="Yes",2,0)+IF(T51="Yes",2,0)+IF(U51="Yes",2,0)+IF(R51="Yes",1,0)+IF(V51="Yes",1,0)+IF(W51="Yes",2,0)+IF(X51="Yes",1,0)+IF(J51&gt;=50,1,0)</f>
        <v/>
      </c>
      <c r="AB51" s="3">
        <f>IF(AA51&gt;=14,"High",IF(AA51&gt;=8,"Mid","Low"))</f>
        <v/>
      </c>
      <c r="AC51" s="3" t="inlineStr">
        <is>
          <t>Contract Rate</t>
        </is>
      </c>
      <c r="AD51" s="3" t="inlineStr">
        <is>
          <t>13MW+ min; customer BTM required</t>
        </is>
      </c>
    </row>
    <row r="52">
      <c r="A52" s="3" t="n">
        <v>50</v>
      </c>
      <c r="B52" s="3" t="inlineStr">
        <is>
          <t>NV Energy</t>
        </is>
      </c>
      <c r="C52" s="3" t="inlineStr">
        <is>
          <t>NV</t>
        </is>
      </c>
      <c r="D52" s="3" t="inlineStr">
        <is>
          <t>West</t>
        </is>
      </c>
      <c r="E52" s="3" t="inlineStr">
        <is>
          <t>None</t>
        </is>
      </c>
      <c r="F52" s="3" t="inlineStr">
        <is>
          <t>Large General Service</t>
        </is>
      </c>
      <c r="G52" s="3" t="inlineStr">
        <is>
          <t>Schedule LGS-1</t>
        </is>
      </c>
      <c r="H52" s="3" t="inlineStr">
        <is>
          <t>2024-07-01</t>
        </is>
      </c>
      <c r="I52" s="3" t="inlineStr">
        <is>
          <t>Active</t>
        </is>
      </c>
      <c r="J52" s="3" t="n">
        <v>1</v>
      </c>
      <c r="K52" s="3" t="n">
        <v>8.5</v>
      </c>
      <c r="L52" s="3" t="n">
        <v>4.2</v>
      </c>
      <c r="M52" s="3" t="n">
        <v>0.055</v>
      </c>
      <c r="N52" s="3" t="n">
        <v>0.035</v>
      </c>
      <c r="O52" s="3" t="n">
        <v>0.018</v>
      </c>
      <c r="P52" s="3" t="n">
        <v>10</v>
      </c>
      <c r="Q52" s="3" t="n">
        <v>80</v>
      </c>
      <c r="R52" s="3" t="inlineStr">
        <is>
          <t>Yes</t>
        </is>
      </c>
      <c r="S52" s="3" t="inlineStr">
        <is>
          <t>Yes</t>
        </is>
      </c>
      <c r="T52" s="3" t="inlineStr">
        <is>
          <t>Yes</t>
        </is>
      </c>
      <c r="U52" s="3" t="inlineStr">
        <is>
          <t>Yes</t>
        </is>
      </c>
      <c r="V52" s="3" t="inlineStr">
        <is>
          <t>Yes</t>
        </is>
      </c>
      <c r="W52" s="3" t="inlineStr">
        <is>
          <t>Yes</t>
        </is>
      </c>
      <c r="X52" s="3" t="inlineStr">
        <is>
          <t>Yes</t>
        </is>
      </c>
      <c r="Y52" s="4">
        <f>((K52*600000)+(L52*600000*0.5)+((M52+O52)*140160000)+((N52+O52)*210240000)+500)/350400000</f>
        <v/>
      </c>
      <c r="Z52" s="5">
        <f>(Y52*350400000*12)/1000000</f>
        <v/>
      </c>
      <c r="AA52" s="3">
        <f>IF(Q52&gt;=90,3,IF(Q52&gt;=80,2,IF(Q52&gt;=60,1,0)))+IF(P52&gt;=15,3,IF(P52&gt;=10,2,IF(P52&gt;=5,1,0)))+IF(S52="Yes",2,0)+IF(T52="Yes",2,0)+IF(U52="Yes",2,0)+IF(R52="Yes",1,0)+IF(V52="Yes",1,0)+IF(W52="Yes",2,0)+IF(X52="Yes",1,0)+IF(J52&gt;=50,1,0)</f>
        <v/>
      </c>
      <c r="AB52" s="3">
        <f>IF(AA52&gt;=14,"High",IF(AA52&gt;=8,"Mid","Low"))</f>
        <v/>
      </c>
      <c r="AC52" s="3" t="inlineStr">
        <is>
          <t>Base + DEAA + BTER</t>
        </is>
      </c>
      <c r="AD52" s="3" t="inlineStr">
        <is>
          <t>4+ GW AI DC projects in queue</t>
        </is>
      </c>
    </row>
    <row r="53">
      <c r="A53" s="3" t="n">
        <v>51</v>
      </c>
      <c r="B53" s="3" t="inlineStr">
        <is>
          <t>Arizona Public Service (APS)</t>
        </is>
      </c>
      <c r="C53" s="3" t="inlineStr">
        <is>
          <t>AZ</t>
        </is>
      </c>
      <c r="D53" s="3" t="inlineStr">
        <is>
          <t>Southwest</t>
        </is>
      </c>
      <c r="E53" s="3" t="inlineStr">
        <is>
          <t>None</t>
        </is>
      </c>
      <c r="F53" s="3" t="inlineStr">
        <is>
          <t>Large General Service TOU</t>
        </is>
      </c>
      <c r="G53" s="3" t="inlineStr">
        <is>
          <t>Schedule E-32</t>
        </is>
      </c>
      <c r="H53" s="3" t="inlineStr">
        <is>
          <t>2024-06-01</t>
        </is>
      </c>
      <c r="I53" s="3" t="inlineStr">
        <is>
          <t>Active</t>
        </is>
      </c>
      <c r="J53" s="3" t="n">
        <v>3</v>
      </c>
      <c r="K53" s="3" t="n">
        <v>9.800000000000001</v>
      </c>
      <c r="L53" s="3" t="n">
        <v>3.2</v>
      </c>
      <c r="M53" s="3" t="n">
        <v>0.048</v>
      </c>
      <c r="N53" s="3" t="n">
        <v>0.028</v>
      </c>
      <c r="O53" s="3" t="n">
        <v>0.018</v>
      </c>
      <c r="P53" s="3" t="n">
        <v>5</v>
      </c>
      <c r="Q53" s="3" t="n">
        <v>75</v>
      </c>
      <c r="R53" s="3" t="inlineStr">
        <is>
          <t>Yes</t>
        </is>
      </c>
      <c r="S53" s="3" t="inlineStr">
        <is>
          <t>Yes</t>
        </is>
      </c>
      <c r="T53" s="3" t="inlineStr">
        <is>
          <t>No</t>
        </is>
      </c>
      <c r="U53" s="3" t="inlineStr">
        <is>
          <t>No</t>
        </is>
      </c>
      <c r="V53" s="3" t="inlineStr">
        <is>
          <t>Yes</t>
        </is>
      </c>
      <c r="W53" s="3" t="inlineStr">
        <is>
          <t>No</t>
        </is>
      </c>
      <c r="X53" s="3" t="inlineStr">
        <is>
          <t>No</t>
        </is>
      </c>
      <c r="Y53" s="4">
        <f>((K53*600000)+(L53*600000*0.5)+((M53+O53)*140160000)+((N53+O53)*210240000)+500)/350400000</f>
        <v/>
      </c>
      <c r="Z53" s="5">
        <f>(Y53*350400000*12)/1000000</f>
        <v/>
      </c>
      <c r="AA53" s="3">
        <f>IF(Q53&gt;=90,3,IF(Q53&gt;=80,2,IF(Q53&gt;=60,1,0)))+IF(P53&gt;=15,3,IF(P53&gt;=10,2,IF(P53&gt;=5,1,0)))+IF(S53="Yes",2,0)+IF(T53="Yes",2,0)+IF(U53="Yes",2,0)+IF(R53="Yes",1,0)+IF(V53="Yes",1,0)+IF(W53="Yes",2,0)+IF(X53="Yes",1,0)+IF(J53&gt;=50,1,0)</f>
        <v/>
      </c>
      <c r="AB53" s="3">
        <f>IF(AA53&gt;=14,"High",IF(AA53&gt;=8,"Mid","Low"))</f>
        <v/>
      </c>
      <c r="AC53" s="3" t="inlineStr">
        <is>
          <t>Base + PSA + RES</t>
        </is>
      </c>
      <c r="AD53" s="3" t="inlineStr">
        <is>
          <t>40% peak growth to 13,000 MW by 2031</t>
        </is>
      </c>
    </row>
    <row r="54">
      <c r="A54" s="3" t="n">
        <v>52</v>
      </c>
      <c r="B54" s="3" t="inlineStr">
        <is>
          <t>Salt River Project (SRP)</t>
        </is>
      </c>
      <c r="C54" s="3" t="inlineStr">
        <is>
          <t>AZ</t>
        </is>
      </c>
      <c r="D54" s="3" t="inlineStr">
        <is>
          <t>Southwest</t>
        </is>
      </c>
      <c r="E54" s="3" t="inlineStr">
        <is>
          <t>None</t>
        </is>
      </c>
      <c r="F54" s="3" t="inlineStr">
        <is>
          <t>Large Industrial Service</t>
        </is>
      </c>
      <c r="G54" s="3" t="inlineStr">
        <is>
          <t>Schedule E-65</t>
        </is>
      </c>
      <c r="H54" s="3" t="inlineStr">
        <is>
          <t>2025-11-01</t>
        </is>
      </c>
      <c r="I54" s="3" t="inlineStr">
        <is>
          <t>Active</t>
        </is>
      </c>
      <c r="J54" s="3" t="n">
        <v>3</v>
      </c>
      <c r="K54" s="3" t="n">
        <v>11.5</v>
      </c>
      <c r="L54" s="3" t="n">
        <v>4.8</v>
      </c>
      <c r="M54" s="3" t="n">
        <v>0.058</v>
      </c>
      <c r="N54" s="3" t="n">
        <v>0.038</v>
      </c>
      <c r="O54" s="3" t="n">
        <v>0.015</v>
      </c>
      <c r="P54" s="3" t="n">
        <v>5</v>
      </c>
      <c r="Q54" s="3" t="n">
        <v>0</v>
      </c>
      <c r="R54" s="3" t="inlineStr">
        <is>
          <t>Yes</t>
        </is>
      </c>
      <c r="S54" s="3" t="inlineStr">
        <is>
          <t>Yes</t>
        </is>
      </c>
      <c r="T54" s="3" t="inlineStr">
        <is>
          <t>No</t>
        </is>
      </c>
      <c r="U54" s="3" t="inlineStr">
        <is>
          <t>No</t>
        </is>
      </c>
      <c r="V54" s="3" t="inlineStr">
        <is>
          <t>Yes</t>
        </is>
      </c>
      <c r="W54" s="3" t="inlineStr">
        <is>
          <t>No</t>
        </is>
      </c>
      <c r="X54" s="3" t="inlineStr">
        <is>
          <t>No</t>
        </is>
      </c>
      <c r="Y54" s="4">
        <f>((K54*600000)+(L54*600000*0.5)+((M54+O54)*140160000)+((N54+O54)*210240000)+500)/350400000</f>
        <v/>
      </c>
      <c r="Z54" s="5">
        <f>(Y54*350400000*12)/1000000</f>
        <v/>
      </c>
      <c r="AA54" s="3">
        <f>IF(Q54&gt;=90,3,IF(Q54&gt;=80,2,IF(Q54&gt;=60,1,0)))+IF(P54&gt;=15,3,IF(P54&gt;=10,2,IF(P54&gt;=5,1,0)))+IF(S54="Yes",2,0)+IF(T54="Yes",2,0)+IF(U54="Yes",2,0)+IF(R54="Yes",1,0)+IF(V54="Yes",1,0)+IF(W54="Yes",2,0)+IF(X54="Yes",1,0)+IF(J54&gt;=50,1,0)</f>
        <v/>
      </c>
      <c r="AB54" s="3">
        <f>IF(AA54&gt;=14,"High",IF(AA54&gt;=8,"Mid","Low"))</f>
        <v/>
      </c>
      <c r="AC54" s="3" t="inlineStr">
        <is>
          <t>Base + Fuel Adj</t>
        </is>
      </c>
      <c r="AD54" s="3" t="inlineStr">
        <is>
          <t>20.1% discount at 69kV+</t>
        </is>
      </c>
    </row>
    <row r="55">
      <c r="A55" s="3" t="n">
        <v>53</v>
      </c>
      <c r="B55" s="3" t="inlineStr">
        <is>
          <t>Rocky Mountain Power (PacifiCorp)</t>
        </is>
      </c>
      <c r="C55" s="3" t="inlineStr">
        <is>
          <t>UT/ID/WY</t>
        </is>
      </c>
      <c r="D55" s="3" t="inlineStr">
        <is>
          <t>Mountain West</t>
        </is>
      </c>
      <c r="E55" s="3" t="inlineStr">
        <is>
          <t>None</t>
        </is>
      </c>
      <c r="F55" s="3" t="inlineStr">
        <is>
          <t>Large General Service</t>
        </is>
      </c>
      <c r="G55" s="3" t="inlineStr">
        <is>
          <t>Schedule 31</t>
        </is>
      </c>
      <c r="H55" s="3" t="inlineStr">
        <is>
          <t>2025-11-01</t>
        </is>
      </c>
      <c r="I55" s="3" t="inlineStr">
        <is>
          <t>Active</t>
        </is>
      </c>
      <c r="J55" s="3" t="n">
        <v>1</v>
      </c>
      <c r="K55" s="3" t="n">
        <v>9.56</v>
      </c>
      <c r="L55" s="3" t="n">
        <v>6.68</v>
      </c>
      <c r="M55" s="3" t="n">
        <v>0.048</v>
      </c>
      <c r="N55" s="3" t="n">
        <v>0.035</v>
      </c>
      <c r="O55" s="3" t="n">
        <v>0.015</v>
      </c>
      <c r="P55" s="3" t="n">
        <v>5</v>
      </c>
      <c r="Q55" s="3" t="n">
        <v>0</v>
      </c>
      <c r="R55" s="3" t="inlineStr">
        <is>
          <t>Yes</t>
        </is>
      </c>
      <c r="S55" s="3" t="inlineStr">
        <is>
          <t>Yes</t>
        </is>
      </c>
      <c r="T55" s="3" t="inlineStr">
        <is>
          <t>No</t>
        </is>
      </c>
      <c r="U55" s="3" t="inlineStr">
        <is>
          <t>No</t>
        </is>
      </c>
      <c r="V55" s="3" t="inlineStr">
        <is>
          <t>Yes</t>
        </is>
      </c>
      <c r="W55" s="3" t="inlineStr">
        <is>
          <t>No</t>
        </is>
      </c>
      <c r="X55" s="3" t="inlineStr">
        <is>
          <t>No</t>
        </is>
      </c>
      <c r="Y55" s="4">
        <f>((K55*600000)+(L55*600000*0.5)+((M55+O55)*140160000)+((N55+O55)*210240000)+500)/350400000</f>
        <v/>
      </c>
      <c r="Z55" s="5">
        <f>(Y55*350400000*12)/1000000</f>
        <v/>
      </c>
      <c r="AA55" s="3">
        <f>IF(Q55&gt;=90,3,IF(Q55&gt;=80,2,IF(Q55&gt;=60,1,0)))+IF(P55&gt;=15,3,IF(P55&gt;=10,2,IF(P55&gt;=5,1,0)))+IF(S55="Yes",2,0)+IF(T55="Yes",2,0)+IF(U55="Yes",2,0)+IF(R55="Yes",1,0)+IF(V55="Yes",1,0)+IF(W55="Yes",2,0)+IF(X55="Yes",1,0)+IF(J55&gt;=50,1,0)</f>
        <v/>
      </c>
      <c r="AB55" s="3">
        <f>IF(AA55&gt;=14,"High",IF(AA55&gt;=8,"Mid","Low"))</f>
        <v/>
      </c>
      <c r="AC55" s="3" t="inlineStr">
        <is>
          <t>Base + EBA + RBA</t>
        </is>
      </c>
      <c r="AD55" s="3" t="inlineStr">
        <is>
          <t>Partial requirements</t>
        </is>
      </c>
    </row>
    <row r="56">
      <c r="A56" s="3" t="n">
        <v>54</v>
      </c>
      <c r="B56" s="3" t="inlineStr">
        <is>
          <t>PNM Resources</t>
        </is>
      </c>
      <c r="C56" s="3" t="inlineStr">
        <is>
          <t>NM</t>
        </is>
      </c>
      <c r="D56" s="3" t="inlineStr">
        <is>
          <t>Southwest</t>
        </is>
      </c>
      <c r="E56" s="3" t="inlineStr">
        <is>
          <t>None</t>
        </is>
      </c>
      <c r="F56" s="3" t="inlineStr">
        <is>
          <t>Large Power Service</t>
        </is>
      </c>
      <c r="G56" s="3" t="inlineStr">
        <is>
          <t>Schedule 3B</t>
        </is>
      </c>
      <c r="H56" s="3" t="inlineStr">
        <is>
          <t>2025-01-01</t>
        </is>
      </c>
      <c r="I56" s="3" t="inlineStr">
        <is>
          <t>Active</t>
        </is>
      </c>
      <c r="J56" s="3" t="n">
        <v>1</v>
      </c>
      <c r="K56" s="3" t="n">
        <v>8.800000000000001</v>
      </c>
      <c r="L56" s="3" t="n">
        <v>3.6</v>
      </c>
      <c r="M56" s="3" t="n">
        <v>0.048</v>
      </c>
      <c r="N56" s="3" t="n">
        <v>0.035</v>
      </c>
      <c r="O56" s="3" t="n">
        <v>0.015</v>
      </c>
      <c r="P56" s="3" t="n">
        <v>5</v>
      </c>
      <c r="Q56" s="3" t="n">
        <v>0</v>
      </c>
      <c r="R56" s="3" t="inlineStr">
        <is>
          <t>Yes</t>
        </is>
      </c>
      <c r="S56" s="3" t="inlineStr">
        <is>
          <t>Yes</t>
        </is>
      </c>
      <c r="T56" s="3" t="inlineStr">
        <is>
          <t>No</t>
        </is>
      </c>
      <c r="U56" s="3" t="inlineStr">
        <is>
          <t>No</t>
        </is>
      </c>
      <c r="V56" s="3" t="inlineStr">
        <is>
          <t>Yes</t>
        </is>
      </c>
      <c r="W56" s="3" t="inlineStr">
        <is>
          <t>No</t>
        </is>
      </c>
      <c r="X56" s="3" t="inlineStr">
        <is>
          <t>No</t>
        </is>
      </c>
      <c r="Y56" s="4">
        <f>((K56*600000)+(L56*600000*0.5)+((M56+O56)*140160000)+((N56+O56)*210240000)+500)/350400000</f>
        <v/>
      </c>
      <c r="Z56" s="5">
        <f>(Y56*350400000*12)/1000000</f>
        <v/>
      </c>
      <c r="AA56" s="3">
        <f>IF(Q56&gt;=90,3,IF(Q56&gt;=80,2,IF(Q56&gt;=60,1,0)))+IF(P56&gt;=15,3,IF(P56&gt;=10,2,IF(P56&gt;=5,1,0)))+IF(S56="Yes",2,0)+IF(T56="Yes",2,0)+IF(U56="Yes",2,0)+IF(R56="Yes",1,0)+IF(V56="Yes",1,0)+IF(W56="Yes",2,0)+IF(X56="Yes",1,0)+IF(J56&gt;=50,1,0)</f>
        <v/>
      </c>
      <c r="AB56" s="3">
        <f>IF(AA56&gt;=14,"High",IF(AA56&gt;=8,"Mid","Low"))</f>
        <v/>
      </c>
      <c r="AC56" s="3" t="inlineStr">
        <is>
          <t>Base + FPPAC</t>
        </is>
      </c>
      <c r="AD56" s="3" t="inlineStr">
        <is>
          <t>New Mexico; coal transition</t>
        </is>
      </c>
    </row>
    <row r="57">
      <c r="A57" s="3" t="n">
        <v>55</v>
      </c>
      <c r="B57" s="3" t="inlineStr">
        <is>
          <t>Tucson Electric Power</t>
        </is>
      </c>
      <c r="C57" s="3" t="inlineStr">
        <is>
          <t>AZ</t>
        </is>
      </c>
      <c r="D57" s="3" t="inlineStr">
        <is>
          <t>Southwest</t>
        </is>
      </c>
      <c r="E57" s="3" t="inlineStr">
        <is>
          <t>None</t>
        </is>
      </c>
      <c r="F57" s="3" t="inlineStr">
        <is>
          <t>Large General Service TOU</t>
        </is>
      </c>
      <c r="G57" s="3" t="inlineStr">
        <is>
          <t>Schedule LGS-51</t>
        </is>
      </c>
      <c r="H57" s="3" t="inlineStr">
        <is>
          <t>2025-01-01</t>
        </is>
      </c>
      <c r="I57" s="3" t="inlineStr">
        <is>
          <t>Active</t>
        </is>
      </c>
      <c r="J57" s="3" t="n">
        <v>3</v>
      </c>
      <c r="K57" s="3" t="n">
        <v>9.199999999999999</v>
      </c>
      <c r="L57" s="3" t="n">
        <v>3.8</v>
      </c>
      <c r="M57" s="3" t="n">
        <v>0.052</v>
      </c>
      <c r="N57" s="3" t="n">
        <v>0.035</v>
      </c>
      <c r="O57" s="3" t="n">
        <v>0.018</v>
      </c>
      <c r="P57" s="3" t="n">
        <v>5</v>
      </c>
      <c r="Q57" s="3" t="n">
        <v>0</v>
      </c>
      <c r="R57" s="3" t="inlineStr">
        <is>
          <t>Yes</t>
        </is>
      </c>
      <c r="S57" s="3" t="inlineStr">
        <is>
          <t>Yes</t>
        </is>
      </c>
      <c r="T57" s="3" t="inlineStr">
        <is>
          <t>No</t>
        </is>
      </c>
      <c r="U57" s="3" t="inlineStr">
        <is>
          <t>No</t>
        </is>
      </c>
      <c r="V57" s="3" t="inlineStr">
        <is>
          <t>Yes</t>
        </is>
      </c>
      <c r="W57" s="3" t="inlineStr">
        <is>
          <t>No</t>
        </is>
      </c>
      <c r="X57" s="3" t="inlineStr">
        <is>
          <t>No</t>
        </is>
      </c>
      <c r="Y57" s="4">
        <f>((K57*600000)+(L57*600000*0.5)+((M57+O57)*140160000)+((N57+O57)*210240000)+500)/350400000</f>
        <v/>
      </c>
      <c r="Z57" s="5">
        <f>(Y57*350400000*12)/1000000</f>
        <v/>
      </c>
      <c r="AA57" s="3">
        <f>IF(Q57&gt;=90,3,IF(Q57&gt;=80,2,IF(Q57&gt;=60,1,0)))+IF(P57&gt;=15,3,IF(P57&gt;=10,2,IF(P57&gt;=5,1,0)))+IF(S57="Yes",2,0)+IF(T57="Yes",2,0)+IF(U57="Yes",2,0)+IF(R57="Yes",1,0)+IF(V57="Yes",1,0)+IF(W57="Yes",2,0)+IF(X57="Yes",1,0)+IF(J57&gt;=50,1,0)</f>
        <v/>
      </c>
      <c r="AB57" s="3">
        <f>IF(AA57&gt;=14,"High",IF(AA57&gt;=8,"Mid","Low"))</f>
        <v/>
      </c>
      <c r="AC57" s="3" t="inlineStr">
        <is>
          <t>Base + PPFAC + RES</t>
        </is>
      </c>
      <c r="AD57" s="3" t="inlineStr">
        <is>
          <t>Southern Arizona; Fortis subsidiary</t>
        </is>
      </c>
    </row>
    <row r="58">
      <c r="A58" s="3" t="n">
        <v>56</v>
      </c>
      <c r="B58" s="3" t="inlineStr">
        <is>
          <t>El Paso Electric</t>
        </is>
      </c>
      <c r="C58" s="3" t="inlineStr">
        <is>
          <t>TX/NM</t>
        </is>
      </c>
      <c r="D58" s="3" t="inlineStr">
        <is>
          <t>Southwest</t>
        </is>
      </c>
      <c r="E58" s="3" t="inlineStr">
        <is>
          <t>None</t>
        </is>
      </c>
      <c r="F58" s="3" t="inlineStr">
        <is>
          <t>Large General Service</t>
        </is>
      </c>
      <c r="G58" s="3" t="inlineStr">
        <is>
          <t>Schedule 6</t>
        </is>
      </c>
      <c r="H58" s="3" t="inlineStr">
        <is>
          <t>2025-01-01</t>
        </is>
      </c>
      <c r="I58" s="3" t="inlineStr">
        <is>
          <t>Active</t>
        </is>
      </c>
      <c r="J58" s="3" t="n">
        <v>1</v>
      </c>
      <c r="K58" s="3" t="n">
        <v>7.8</v>
      </c>
      <c r="L58" s="3" t="n">
        <v>3.2</v>
      </c>
      <c r="M58" s="3" t="n">
        <v>0.045</v>
      </c>
      <c r="N58" s="3" t="n">
        <v>0.032</v>
      </c>
      <c r="O58" s="3" t="n">
        <v>0.018</v>
      </c>
      <c r="P58" s="3" t="n">
        <v>5</v>
      </c>
      <c r="Q58" s="3" t="n">
        <v>0</v>
      </c>
      <c r="R58" s="3" t="inlineStr">
        <is>
          <t>Yes</t>
        </is>
      </c>
      <c r="S58" s="3" t="inlineStr">
        <is>
          <t>Yes</t>
        </is>
      </c>
      <c r="T58" s="3" t="inlineStr">
        <is>
          <t>No</t>
        </is>
      </c>
      <c r="U58" s="3" t="inlineStr">
        <is>
          <t>No</t>
        </is>
      </c>
      <c r="V58" s="3" t="inlineStr">
        <is>
          <t>Yes</t>
        </is>
      </c>
      <c r="W58" s="3" t="inlineStr">
        <is>
          <t>No</t>
        </is>
      </c>
      <c r="X58" s="3" t="inlineStr">
        <is>
          <t>No</t>
        </is>
      </c>
      <c r="Y58" s="4">
        <f>((K58*600000)+(L58*600000*0.5)+((M58+O58)*140160000)+((N58+O58)*210240000)+500)/350400000</f>
        <v/>
      </c>
      <c r="Z58" s="5">
        <f>(Y58*350400000*12)/1000000</f>
        <v/>
      </c>
      <c r="AA58" s="3">
        <f>IF(Q58&gt;=90,3,IF(Q58&gt;=80,2,IF(Q58&gt;=60,1,0)))+IF(P58&gt;=15,3,IF(P58&gt;=10,2,IF(P58&gt;=5,1,0)))+IF(S58="Yes",2,0)+IF(T58="Yes",2,0)+IF(U58="Yes",2,0)+IF(R58="Yes",1,0)+IF(V58="Yes",1,0)+IF(W58="Yes",2,0)+IF(X58="Yes",1,0)+IF(J58&gt;=50,1,0)</f>
        <v/>
      </c>
      <c r="AB58" s="3">
        <f>IF(AA58&gt;=14,"High",IF(AA58&gt;=8,"Mid","Low"))</f>
        <v/>
      </c>
      <c r="AC58" s="3" t="inlineStr">
        <is>
          <t>Base + Fuel Factor</t>
        </is>
      </c>
      <c r="AD58" s="3" t="inlineStr">
        <is>
          <t>West TX/Southern NM</t>
        </is>
      </c>
    </row>
    <row r="59">
      <c r="A59" s="3" t="n">
        <v>57</v>
      </c>
      <c r="B59" s="3" t="inlineStr">
        <is>
          <t>Pacific Gas &amp; Electric (PG&amp;E)</t>
        </is>
      </c>
      <c r="C59" s="3" t="inlineStr">
        <is>
          <t>CA</t>
        </is>
      </c>
      <c r="D59" s="3" t="inlineStr">
        <is>
          <t>West</t>
        </is>
      </c>
      <c r="E59" s="3" t="inlineStr">
        <is>
          <t>CAISO</t>
        </is>
      </c>
      <c r="F59" s="3" t="inlineStr">
        <is>
          <t>Large Power</t>
        </is>
      </c>
      <c r="G59" s="3" t="inlineStr">
        <is>
          <t>Schedule E-20</t>
        </is>
      </c>
      <c r="H59" s="3" t="inlineStr">
        <is>
          <t>2025-01-01</t>
        </is>
      </c>
      <c r="I59" s="3" t="inlineStr">
        <is>
          <t>Active</t>
        </is>
      </c>
      <c r="J59" s="3" t="n">
        <v>1</v>
      </c>
      <c r="K59" s="3" t="n">
        <v>22.5</v>
      </c>
      <c r="L59" s="3" t="n">
        <v>8.4</v>
      </c>
      <c r="M59" s="3" t="n">
        <v>0.165</v>
      </c>
      <c r="N59" s="3" t="n">
        <v>0.105</v>
      </c>
      <c r="O59" s="3" t="n">
        <v>0.025</v>
      </c>
      <c r="P59" s="3" t="n">
        <v>5</v>
      </c>
      <c r="Q59" s="3" t="n">
        <v>0</v>
      </c>
      <c r="R59" s="3" t="inlineStr">
        <is>
          <t>Yes</t>
        </is>
      </c>
      <c r="S59" s="3" t="inlineStr">
        <is>
          <t>Yes</t>
        </is>
      </c>
      <c r="T59" s="3" t="inlineStr">
        <is>
          <t>No</t>
        </is>
      </c>
      <c r="U59" s="3" t="inlineStr">
        <is>
          <t>No</t>
        </is>
      </c>
      <c r="V59" s="3" t="inlineStr">
        <is>
          <t>Yes</t>
        </is>
      </c>
      <c r="W59" s="3" t="inlineStr">
        <is>
          <t>No</t>
        </is>
      </c>
      <c r="X59" s="3" t="inlineStr">
        <is>
          <t>No</t>
        </is>
      </c>
      <c r="Y59" s="4">
        <f>((K59*600000)+(L59*600000*0.5)+((M59+O59)*140160000)+((N59+O59)*210240000)+500)/350400000</f>
        <v/>
      </c>
      <c r="Z59" s="5">
        <f>(Y59*350400000*12)/1000000</f>
        <v/>
      </c>
      <c r="AA59" s="3">
        <f>IF(Q59&gt;=90,3,IF(Q59&gt;=80,2,IF(Q59&gt;=60,1,0)))+IF(P59&gt;=15,3,IF(P59&gt;=10,2,IF(P59&gt;=5,1,0)))+IF(S59="Yes",2,0)+IF(T59="Yes",2,0)+IF(U59="Yes",2,0)+IF(R59="Yes",1,0)+IF(V59="Yes",1,0)+IF(W59="Yes",2,0)+IF(X59="Yes",1,0)+IF(J59&gt;=50,1,0)</f>
        <v/>
      </c>
      <c r="AB59" s="3">
        <f>IF(AA59&gt;=14,"High",IF(AA59&gt;=8,"Mid","Low"))</f>
        <v/>
      </c>
      <c r="AC59" s="3" t="inlineStr">
        <is>
          <t>Base + PCIA + DWR + NEM</t>
        </is>
      </c>
      <c r="AD59" s="3" t="inlineStr">
        <is>
          <t>Highest rates in nation</t>
        </is>
      </c>
    </row>
    <row r="60">
      <c r="A60" s="3" t="n">
        <v>58</v>
      </c>
      <c r="B60" s="3" t="inlineStr">
        <is>
          <t>Southern California Edison (SCE)</t>
        </is>
      </c>
      <c r="C60" s="3" t="inlineStr">
        <is>
          <t>CA</t>
        </is>
      </c>
      <c r="D60" s="3" t="inlineStr">
        <is>
          <t>West</t>
        </is>
      </c>
      <c r="E60" s="3" t="inlineStr">
        <is>
          <t>CAISO</t>
        </is>
      </c>
      <c r="F60" s="3" t="inlineStr">
        <is>
          <t>Large TOU</t>
        </is>
      </c>
      <c r="G60" s="3" t="inlineStr">
        <is>
          <t>Schedule TOU-8</t>
        </is>
      </c>
      <c r="H60" s="3" t="inlineStr">
        <is>
          <t>2025-01-01</t>
        </is>
      </c>
      <c r="I60" s="3" t="inlineStr">
        <is>
          <t>Active</t>
        </is>
      </c>
      <c r="J60" s="3" t="n">
        <v>0.5</v>
      </c>
      <c r="K60" s="3" t="n">
        <v>18.8</v>
      </c>
      <c r="L60" s="3" t="n">
        <v>6.2</v>
      </c>
      <c r="M60" s="3" t="n">
        <v>0.145</v>
      </c>
      <c r="N60" s="3" t="n">
        <v>0.095</v>
      </c>
      <c r="O60" s="3" t="n">
        <v>0.025</v>
      </c>
      <c r="P60" s="3" t="n">
        <v>5</v>
      </c>
      <c r="Q60" s="3" t="n">
        <v>0</v>
      </c>
      <c r="R60" s="3" t="inlineStr">
        <is>
          <t>Yes</t>
        </is>
      </c>
      <c r="S60" s="3" t="inlineStr">
        <is>
          <t>Yes</t>
        </is>
      </c>
      <c r="T60" s="3" t="inlineStr">
        <is>
          <t>No</t>
        </is>
      </c>
      <c r="U60" s="3" t="inlineStr">
        <is>
          <t>No</t>
        </is>
      </c>
      <c r="V60" s="3" t="inlineStr">
        <is>
          <t>Yes</t>
        </is>
      </c>
      <c r="W60" s="3" t="inlineStr">
        <is>
          <t>No</t>
        </is>
      </c>
      <c r="X60" s="3" t="inlineStr">
        <is>
          <t>No</t>
        </is>
      </c>
      <c r="Y60" s="4">
        <f>((K60*600000)+(L60*600000*0.5)+((M60+O60)*140160000)+((N60+O60)*210240000)+500)/350400000</f>
        <v/>
      </c>
      <c r="Z60" s="5">
        <f>(Y60*350400000*12)/1000000</f>
        <v/>
      </c>
      <c r="AA60" s="3">
        <f>IF(Q60&gt;=90,3,IF(Q60&gt;=80,2,IF(Q60&gt;=60,1,0)))+IF(P60&gt;=15,3,IF(P60&gt;=10,2,IF(P60&gt;=5,1,0)))+IF(S60="Yes",2,0)+IF(T60="Yes",2,0)+IF(U60="Yes",2,0)+IF(R60="Yes",1,0)+IF(V60="Yes",1,0)+IF(W60="Yes",2,0)+IF(X60="Yes",1,0)+IF(J60&gt;=50,1,0)</f>
        <v/>
      </c>
      <c r="AB60" s="3">
        <f>IF(AA60&gt;=14,"High",IF(AA60&gt;=8,"Mid","Low"))</f>
        <v/>
      </c>
      <c r="AC60" s="3" t="inlineStr">
        <is>
          <t>Base + DWR + PCIA</t>
        </is>
      </c>
      <c r="AD60" s="3" t="inlineStr">
        <is>
          <t>&gt;500kW demand</t>
        </is>
      </c>
    </row>
    <row r="61">
      <c r="A61" s="3" t="n">
        <v>59</v>
      </c>
      <c r="B61" s="3" t="inlineStr">
        <is>
          <t>San Diego Gas &amp; Electric (SDG&amp;E)</t>
        </is>
      </c>
      <c r="C61" s="3" t="inlineStr">
        <is>
          <t>CA</t>
        </is>
      </c>
      <c r="D61" s="3" t="inlineStr">
        <is>
          <t>West</t>
        </is>
      </c>
      <c r="E61" s="3" t="inlineStr">
        <is>
          <t>CAISO</t>
        </is>
      </c>
      <c r="F61" s="3" t="inlineStr">
        <is>
          <t>Large C&amp;I TOU</t>
        </is>
      </c>
      <c r="G61" s="3" t="inlineStr">
        <is>
          <t>Schedule AL-TOU</t>
        </is>
      </c>
      <c r="H61" s="3" t="inlineStr">
        <is>
          <t>2025-01-01</t>
        </is>
      </c>
      <c r="I61" s="3" t="inlineStr">
        <is>
          <t>Active</t>
        </is>
      </c>
      <c r="J61" s="3" t="n">
        <v>0.02</v>
      </c>
      <c r="K61" s="3" t="n">
        <v>15.2</v>
      </c>
      <c r="L61" s="3" t="n">
        <v>5.8</v>
      </c>
      <c r="M61" s="3" t="n">
        <v>0.125</v>
      </c>
      <c r="N61" s="3" t="n">
        <v>0.08500000000000001</v>
      </c>
      <c r="O61" s="3" t="n">
        <v>0.025</v>
      </c>
      <c r="P61" s="3" t="n">
        <v>5</v>
      </c>
      <c r="Q61" s="3" t="n">
        <v>0</v>
      </c>
      <c r="R61" s="3" t="inlineStr">
        <is>
          <t>Yes</t>
        </is>
      </c>
      <c r="S61" s="3" t="inlineStr">
        <is>
          <t>Yes</t>
        </is>
      </c>
      <c r="T61" s="3" t="inlineStr">
        <is>
          <t>No</t>
        </is>
      </c>
      <c r="U61" s="3" t="inlineStr">
        <is>
          <t>No</t>
        </is>
      </c>
      <c r="V61" s="3" t="inlineStr">
        <is>
          <t>Yes</t>
        </is>
      </c>
      <c r="W61" s="3" t="inlineStr">
        <is>
          <t>No</t>
        </is>
      </c>
      <c r="X61" s="3" t="inlineStr">
        <is>
          <t>No</t>
        </is>
      </c>
      <c r="Y61" s="4">
        <f>((K61*600000)+(L61*600000*0.5)+((M61+O61)*140160000)+((N61+O61)*210240000)+500)/350400000</f>
        <v/>
      </c>
      <c r="Z61" s="5">
        <f>(Y61*350400000*12)/1000000</f>
        <v/>
      </c>
      <c r="AA61" s="3">
        <f>IF(Q61&gt;=90,3,IF(Q61&gt;=80,2,IF(Q61&gt;=60,1,0)))+IF(P61&gt;=15,3,IF(P61&gt;=10,2,IF(P61&gt;=5,1,0)))+IF(S61="Yes",2,0)+IF(T61="Yes",2,0)+IF(U61="Yes",2,0)+IF(R61="Yes",1,0)+IF(V61="Yes",1,0)+IF(W61="Yes",2,0)+IF(X61="Yes",1,0)+IF(J61&gt;=50,1,0)</f>
        <v/>
      </c>
      <c r="AB61" s="3">
        <f>IF(AA61&gt;=14,"High",IF(AA61&gt;=8,"Mid","Low"))</f>
        <v/>
      </c>
      <c r="AC61" s="3" t="inlineStr">
        <is>
          <t>Base + DWR + Departing Load</t>
        </is>
      </c>
      <c r="AD61" s="3" t="inlineStr">
        <is>
          <t>Peak cap $0.83/kWh summer</t>
        </is>
      </c>
    </row>
    <row r="62">
      <c r="A62" s="3" t="n">
        <v>60</v>
      </c>
      <c r="B62" s="3" t="inlineStr">
        <is>
          <t>LADWP</t>
        </is>
      </c>
      <c r="C62" s="3" t="inlineStr">
        <is>
          <t>CA</t>
        </is>
      </c>
      <c r="D62" s="3" t="inlineStr">
        <is>
          <t>West</t>
        </is>
      </c>
      <c r="E62" s="3" t="inlineStr">
        <is>
          <t>None</t>
        </is>
      </c>
      <c r="F62" s="3" t="inlineStr">
        <is>
          <t>Large Industrial</t>
        </is>
      </c>
      <c r="G62" s="3" t="inlineStr">
        <is>
          <t>Schedule A-3</t>
        </is>
      </c>
      <c r="H62" s="3" t="inlineStr">
        <is>
          <t>2025-01-01</t>
        </is>
      </c>
      <c r="I62" s="3" t="inlineStr">
        <is>
          <t>Active</t>
        </is>
      </c>
      <c r="J62" s="3" t="n">
        <v>0.5</v>
      </c>
      <c r="K62" s="3" t="n">
        <v>12.5</v>
      </c>
      <c r="L62" s="3" t="n">
        <v>5.2</v>
      </c>
      <c r="M62" s="3" t="n">
        <v>0.095</v>
      </c>
      <c r="N62" s="3" t="n">
        <v>0.065</v>
      </c>
      <c r="O62" s="3" t="n">
        <v>0.018</v>
      </c>
      <c r="P62" s="3" t="n">
        <v>5</v>
      </c>
      <c r="Q62" s="3" t="n">
        <v>0</v>
      </c>
      <c r="R62" s="3" t="inlineStr">
        <is>
          <t>Yes</t>
        </is>
      </c>
      <c r="S62" s="3" t="inlineStr">
        <is>
          <t>Yes</t>
        </is>
      </c>
      <c r="T62" s="3" t="inlineStr">
        <is>
          <t>No</t>
        </is>
      </c>
      <c r="U62" s="3" t="inlineStr">
        <is>
          <t>No</t>
        </is>
      </c>
      <c r="V62" s="3" t="inlineStr">
        <is>
          <t>Yes</t>
        </is>
      </c>
      <c r="W62" s="3" t="inlineStr">
        <is>
          <t>No</t>
        </is>
      </c>
      <c r="X62" s="3" t="inlineStr">
        <is>
          <t>No</t>
        </is>
      </c>
      <c r="Y62" s="4">
        <f>((K62*600000)+(L62*600000*0.5)+((M62+O62)*140160000)+((N62+O62)*210240000)+500)/350400000</f>
        <v/>
      </c>
      <c r="Z62" s="5">
        <f>(Y62*350400000*12)/1000000</f>
        <v/>
      </c>
      <c r="AA62" s="3">
        <f>IF(Q62&gt;=90,3,IF(Q62&gt;=80,2,IF(Q62&gt;=60,1,0)))+IF(P62&gt;=15,3,IF(P62&gt;=10,2,IF(P62&gt;=5,1,0)))+IF(S62="Yes",2,0)+IF(T62="Yes",2,0)+IF(U62="Yes",2,0)+IF(R62="Yes",1,0)+IF(V62="Yes",1,0)+IF(W62="Yes",2,0)+IF(X62="Yes",1,0)+IF(J62&gt;=50,1,0)</f>
        <v/>
      </c>
      <c r="AB62" s="3">
        <f>IF(AA62&gt;=14,"High",IF(AA62&gt;=8,"Mid","Low"))</f>
        <v/>
      </c>
      <c r="AC62" s="3" t="inlineStr">
        <is>
          <t>Base + ECA + RPS</t>
        </is>
      </c>
      <c r="AD62" s="3" t="inlineStr">
        <is>
          <t>Municipal; lower than IOUs</t>
        </is>
      </c>
    </row>
    <row r="63">
      <c r="A63" s="3" t="n">
        <v>61</v>
      </c>
      <c r="B63" s="3" t="inlineStr">
        <is>
          <t>SMUD</t>
        </is>
      </c>
      <c r="C63" s="3" t="inlineStr">
        <is>
          <t>CA</t>
        </is>
      </c>
      <c r="D63" s="3" t="inlineStr">
        <is>
          <t>West</t>
        </is>
      </c>
      <c r="E63" s="3" t="inlineStr">
        <is>
          <t>None</t>
        </is>
      </c>
      <c r="F63" s="3" t="inlineStr">
        <is>
          <t>Large Commercial</t>
        </is>
      </c>
      <c r="G63" s="3" t="inlineStr">
        <is>
          <t>Rate GS-TOU3</t>
        </is>
      </c>
      <c r="H63" s="3" t="inlineStr">
        <is>
          <t>2025-01-01</t>
        </is>
      </c>
      <c r="I63" s="3" t="inlineStr">
        <is>
          <t>Active</t>
        </is>
      </c>
      <c r="J63" s="3" t="n">
        <v>1</v>
      </c>
      <c r="K63" s="3" t="n">
        <v>11.8</v>
      </c>
      <c r="L63" s="3" t="n">
        <v>4.8</v>
      </c>
      <c r="M63" s="3" t="n">
        <v>0.08799999999999999</v>
      </c>
      <c r="N63" s="3" t="n">
        <v>0.062</v>
      </c>
      <c r="O63" s="3" t="n">
        <v>0.015</v>
      </c>
      <c r="P63" s="3" t="n">
        <v>5</v>
      </c>
      <c r="Q63" s="3" t="n">
        <v>0</v>
      </c>
      <c r="R63" s="3" t="inlineStr">
        <is>
          <t>Yes</t>
        </is>
      </c>
      <c r="S63" s="3" t="inlineStr">
        <is>
          <t>Yes</t>
        </is>
      </c>
      <c r="T63" s="3" t="inlineStr">
        <is>
          <t>No</t>
        </is>
      </c>
      <c r="U63" s="3" t="inlineStr">
        <is>
          <t>No</t>
        </is>
      </c>
      <c r="V63" s="3" t="inlineStr">
        <is>
          <t>Yes</t>
        </is>
      </c>
      <c r="W63" s="3" t="inlineStr">
        <is>
          <t>No</t>
        </is>
      </c>
      <c r="X63" s="3" t="inlineStr">
        <is>
          <t>No</t>
        </is>
      </c>
      <c r="Y63" s="4">
        <f>((K63*600000)+(L63*600000*0.5)+((M63+O63)*140160000)+((N63+O63)*210240000)+500)/350400000</f>
        <v/>
      </c>
      <c r="Z63" s="5">
        <f>(Y63*350400000*12)/1000000</f>
        <v/>
      </c>
      <c r="AA63" s="3">
        <f>IF(Q63&gt;=90,3,IF(Q63&gt;=80,2,IF(Q63&gt;=60,1,0)))+IF(P63&gt;=15,3,IF(P63&gt;=10,2,IF(P63&gt;=5,1,0)))+IF(S63="Yes",2,0)+IF(T63="Yes",2,0)+IF(U63="Yes",2,0)+IF(R63="Yes",1,0)+IF(V63="Yes",1,0)+IF(W63="Yes",2,0)+IF(X63="Yes",1,0)+IF(J63&gt;=50,1,0)</f>
        <v/>
      </c>
      <c r="AB63" s="3">
        <f>IF(AA63&gt;=14,"High",IF(AA63&gt;=8,"Mid","Low"))</f>
        <v/>
      </c>
      <c r="AC63" s="3" t="inlineStr">
        <is>
          <t>Base + System Infrastructure</t>
        </is>
      </c>
      <c r="AD63" s="3" t="inlineStr">
        <is>
          <t>Sacramento municipal</t>
        </is>
      </c>
    </row>
    <row r="64">
      <c r="A64" s="3" t="n">
        <v>62</v>
      </c>
      <c r="B64" s="3" t="inlineStr">
        <is>
          <t>Portland General Electric</t>
        </is>
      </c>
      <c r="C64" s="3" t="inlineStr">
        <is>
          <t>OR</t>
        </is>
      </c>
      <c r="D64" s="3" t="inlineStr">
        <is>
          <t>West</t>
        </is>
      </c>
      <c r="E64" s="3" t="inlineStr">
        <is>
          <t>None</t>
        </is>
      </c>
      <c r="F64" s="3" t="inlineStr">
        <is>
          <t>Large Industrial</t>
        </is>
      </c>
      <c r="G64" s="3" t="inlineStr">
        <is>
          <t>Schedule 89</t>
        </is>
      </c>
      <c r="H64" s="3" t="inlineStr">
        <is>
          <t>2025-01-01</t>
        </is>
      </c>
      <c r="I64" s="3" t="inlineStr">
        <is>
          <t>Active</t>
        </is>
      </c>
      <c r="J64" s="3" t="n">
        <v>4</v>
      </c>
      <c r="K64" s="3" t="n">
        <v>8.199999999999999</v>
      </c>
      <c r="L64" s="3" t="n">
        <v>3.4</v>
      </c>
      <c r="M64" s="3" t="n">
        <v>0.068</v>
      </c>
      <c r="N64" s="3" t="n">
        <v>0.048</v>
      </c>
      <c r="O64" s="3" t="n">
        <v>0.015</v>
      </c>
      <c r="P64" s="3" t="n">
        <v>10</v>
      </c>
      <c r="Q64" s="3" t="n">
        <v>0</v>
      </c>
      <c r="R64" s="3" t="inlineStr">
        <is>
          <t>Yes</t>
        </is>
      </c>
      <c r="S64" s="3" t="inlineStr">
        <is>
          <t>Yes</t>
        </is>
      </c>
      <c r="T64" s="3" t="inlineStr">
        <is>
          <t>No</t>
        </is>
      </c>
      <c r="U64" s="3" t="inlineStr">
        <is>
          <t>No</t>
        </is>
      </c>
      <c r="V64" s="3" t="inlineStr">
        <is>
          <t>Yes</t>
        </is>
      </c>
      <c r="W64" s="3" t="inlineStr">
        <is>
          <t>No</t>
        </is>
      </c>
      <c r="X64" s="3" t="inlineStr">
        <is>
          <t>No</t>
        </is>
      </c>
      <c r="Y64" s="4">
        <f>((K64*600000)+(L64*600000*0.5)+((M64+O64)*140160000)+((N64+O64)*210240000)+500)/350400000</f>
        <v/>
      </c>
      <c r="Z64" s="5">
        <f>(Y64*350400000*12)/1000000</f>
        <v/>
      </c>
      <c r="AA64" s="3">
        <f>IF(Q64&gt;=90,3,IF(Q64&gt;=80,2,IF(Q64&gt;=60,1,0)))+IF(P64&gt;=15,3,IF(P64&gt;=10,2,IF(P64&gt;=5,1,0)))+IF(S64="Yes",2,0)+IF(T64="Yes",2,0)+IF(U64="Yes",2,0)+IF(R64="Yes",1,0)+IF(V64="Yes",1,0)+IF(W64="Yes",2,0)+IF(X64="Yes",1,0)+IF(J64&gt;=50,1,0)</f>
        <v/>
      </c>
      <c r="AB64" s="3">
        <f>IF(AA64&gt;=14,"High",IF(AA64&gt;=8,"Mid","Low"))</f>
        <v/>
      </c>
      <c r="AC64" s="3" t="inlineStr">
        <is>
          <t>Base + Power Cost Adj</t>
        </is>
      </c>
      <c r="AD64" s="3" t="inlineStr">
        <is>
          <t>&gt;4,000kW at least twice in 13 months</t>
        </is>
      </c>
    </row>
    <row r="65">
      <c r="A65" s="3" t="n">
        <v>63</v>
      </c>
      <c r="B65" s="3" t="inlineStr">
        <is>
          <t>Idaho Power</t>
        </is>
      </c>
      <c r="C65" s="3" t="inlineStr">
        <is>
          <t>ID</t>
        </is>
      </c>
      <c r="D65" s="3" t="inlineStr">
        <is>
          <t>West</t>
        </is>
      </c>
      <c r="E65" s="3" t="inlineStr">
        <is>
          <t>None</t>
        </is>
      </c>
      <c r="F65" s="3" t="inlineStr">
        <is>
          <t>Large Power Service</t>
        </is>
      </c>
      <c r="G65" s="3" t="inlineStr">
        <is>
          <t>Schedule 19</t>
        </is>
      </c>
      <c r="H65" s="3" t="inlineStr">
        <is>
          <t>2025-01-01</t>
        </is>
      </c>
      <c r="I65" s="3" t="inlineStr">
        <is>
          <t>Active</t>
        </is>
      </c>
      <c r="J65" s="3" t="n">
        <v>1</v>
      </c>
      <c r="K65" s="3" t="n">
        <v>10.5</v>
      </c>
      <c r="L65" s="3" t="n">
        <v>8.449999999999999</v>
      </c>
      <c r="M65" s="3" t="n">
        <v>0.045</v>
      </c>
      <c r="N65" s="3" t="n">
        <v>0.032</v>
      </c>
      <c r="O65" s="3" t="n">
        <v>0.012</v>
      </c>
      <c r="P65" s="3" t="n">
        <v>5</v>
      </c>
      <c r="Q65" s="3" t="n">
        <v>0</v>
      </c>
      <c r="R65" s="3" t="inlineStr">
        <is>
          <t>Yes</t>
        </is>
      </c>
      <c r="S65" s="3" t="inlineStr">
        <is>
          <t>Yes</t>
        </is>
      </c>
      <c r="T65" s="3" t="inlineStr">
        <is>
          <t>No</t>
        </is>
      </c>
      <c r="U65" s="3" t="inlineStr">
        <is>
          <t>No</t>
        </is>
      </c>
      <c r="V65" s="3" t="inlineStr">
        <is>
          <t>Yes</t>
        </is>
      </c>
      <c r="W65" s="3" t="inlineStr">
        <is>
          <t>No</t>
        </is>
      </c>
      <c r="X65" s="3" t="inlineStr">
        <is>
          <t>No</t>
        </is>
      </c>
      <c r="Y65" s="4">
        <f>((K65*600000)+(L65*600000*0.5)+((M65+O65)*140160000)+((N65+O65)*210240000)+500)/350400000</f>
        <v/>
      </c>
      <c r="Z65" s="5">
        <f>(Y65*350400000*12)/1000000</f>
        <v/>
      </c>
      <c r="AA65" s="3">
        <f>IF(Q65&gt;=90,3,IF(Q65&gt;=80,2,IF(Q65&gt;=60,1,0)))+IF(P65&gt;=15,3,IF(P65&gt;=10,2,IF(P65&gt;=5,1,0)))+IF(S65="Yes",2,0)+IF(T65="Yes",2,0)+IF(U65="Yes",2,0)+IF(R65="Yes",1,0)+IF(V65="Yes",1,0)+IF(W65="Yes",2,0)+IF(X65="Yes",1,0)+IF(J65&gt;=50,1,0)</f>
        <v/>
      </c>
      <c r="AB65" s="3">
        <f>IF(AA65&gt;=14,"High",IF(AA65&gt;=8,"Mid","Low"))</f>
        <v/>
      </c>
      <c r="AC65" s="3" t="inlineStr">
        <is>
          <t>Base + PCA</t>
        </is>
      </c>
      <c r="AD65" s="3" t="inlineStr">
        <is>
          <t>Schedule 20 for speculative loads</t>
        </is>
      </c>
    </row>
    <row r="66">
      <c r="A66" s="3" t="n">
        <v>64</v>
      </c>
      <c r="B66" s="3" t="inlineStr">
        <is>
          <t>Puget Sound Energy</t>
        </is>
      </c>
      <c r="C66" s="3" t="inlineStr">
        <is>
          <t>WA</t>
        </is>
      </c>
      <c r="D66" s="3" t="inlineStr">
        <is>
          <t>West</t>
        </is>
      </c>
      <c r="E66" s="3" t="inlineStr">
        <is>
          <t>None</t>
        </is>
      </c>
      <c r="F66" s="3" t="inlineStr">
        <is>
          <t>Large Demand</t>
        </is>
      </c>
      <c r="G66" s="3" t="inlineStr">
        <is>
          <t>Schedule 26</t>
        </is>
      </c>
      <c r="H66" s="3" t="inlineStr">
        <is>
          <t>2025-01-29</t>
        </is>
      </c>
      <c r="I66" s="3" t="inlineStr">
        <is>
          <t>Active</t>
        </is>
      </c>
      <c r="J66" s="3" t="n">
        <v>0.35</v>
      </c>
      <c r="K66" s="3" t="n">
        <v>7.8</v>
      </c>
      <c r="L66" s="3" t="n">
        <v>3.2</v>
      </c>
      <c r="M66" s="3" t="n">
        <v>0.07199999999999999</v>
      </c>
      <c r="N66" s="3" t="n">
        <v>0.052</v>
      </c>
      <c r="O66" s="3" t="n">
        <v>0.012</v>
      </c>
      <c r="P66" s="3" t="n">
        <v>5</v>
      </c>
      <c r="Q66" s="3" t="n">
        <v>0</v>
      </c>
      <c r="R66" s="3" t="inlineStr">
        <is>
          <t>Yes</t>
        </is>
      </c>
      <c r="S66" s="3" t="inlineStr">
        <is>
          <t>Yes</t>
        </is>
      </c>
      <c r="T66" s="3" t="inlineStr">
        <is>
          <t>No</t>
        </is>
      </c>
      <c r="U66" s="3" t="inlineStr">
        <is>
          <t>No</t>
        </is>
      </c>
      <c r="V66" s="3" t="inlineStr">
        <is>
          <t>Yes</t>
        </is>
      </c>
      <c r="W66" s="3" t="inlineStr">
        <is>
          <t>No</t>
        </is>
      </c>
      <c r="X66" s="3" t="inlineStr">
        <is>
          <t>No</t>
        </is>
      </c>
      <c r="Y66" s="4">
        <f>((K66*600000)+(L66*600000*0.5)+((M66+O66)*140160000)+((N66+O66)*210240000)+500)/350400000</f>
        <v/>
      </c>
      <c r="Z66" s="5">
        <f>(Y66*350400000*12)/1000000</f>
        <v/>
      </c>
      <c r="AA66" s="3">
        <f>IF(Q66&gt;=90,3,IF(Q66&gt;=80,2,IF(Q66&gt;=60,1,0)))+IF(P66&gt;=15,3,IF(P66&gt;=10,2,IF(P66&gt;=5,1,0)))+IF(S66="Yes",2,0)+IF(T66="Yes",2,0)+IF(U66="Yes",2,0)+IF(R66="Yes",1,0)+IF(V66="Yes",1,0)+IF(W66="Yes",2,0)+IF(X66="Yes",1,0)+IF(J66&gt;=50,1,0)</f>
        <v/>
      </c>
      <c r="AB66" s="3">
        <f>IF(AA66&gt;=14,"High",IF(AA66&gt;=8,"Mid","Low"))</f>
        <v/>
      </c>
      <c r="AC66" s="3" t="inlineStr">
        <is>
          <t>Base + PCA + Decoupling</t>
        </is>
      </c>
      <c r="AD66" s="3" t="inlineStr">
        <is>
          <t>&gt;350kW demand threshold</t>
        </is>
      </c>
    </row>
    <row r="67">
      <c r="A67" s="3" t="n">
        <v>65</v>
      </c>
      <c r="B67" s="3" t="inlineStr">
        <is>
          <t>Avista Utilities</t>
        </is>
      </c>
      <c r="C67" s="3" t="inlineStr">
        <is>
          <t>WA/ID</t>
        </is>
      </c>
      <c r="D67" s="3" t="inlineStr">
        <is>
          <t>West</t>
        </is>
      </c>
      <c r="E67" s="3" t="inlineStr">
        <is>
          <t>None</t>
        </is>
      </c>
      <c r="F67" s="3" t="inlineStr">
        <is>
          <t>Large General Service</t>
        </is>
      </c>
      <c r="G67" s="3" t="inlineStr">
        <is>
          <t>Schedule 25</t>
        </is>
      </c>
      <c r="H67" s="3" t="inlineStr">
        <is>
          <t>2025-01-01</t>
        </is>
      </c>
      <c r="I67" s="3" t="inlineStr">
        <is>
          <t>Active</t>
        </is>
      </c>
      <c r="J67" s="3" t="n">
        <v>1</v>
      </c>
      <c r="K67" s="3" t="n">
        <v>7.2</v>
      </c>
      <c r="L67" s="3" t="n">
        <v>3</v>
      </c>
      <c r="M67" s="3" t="n">
        <v>0.058</v>
      </c>
      <c r="N67" s="3" t="n">
        <v>0.042</v>
      </c>
      <c r="O67" s="3" t="n">
        <v>0.012</v>
      </c>
      <c r="P67" s="3" t="n">
        <v>5</v>
      </c>
      <c r="Q67" s="3" t="n">
        <v>0</v>
      </c>
      <c r="R67" s="3" t="inlineStr">
        <is>
          <t>Yes</t>
        </is>
      </c>
      <c r="S67" s="3" t="inlineStr">
        <is>
          <t>Yes</t>
        </is>
      </c>
      <c r="T67" s="3" t="inlineStr">
        <is>
          <t>No</t>
        </is>
      </c>
      <c r="U67" s="3" t="inlineStr">
        <is>
          <t>No</t>
        </is>
      </c>
      <c r="V67" s="3" t="inlineStr">
        <is>
          <t>Yes</t>
        </is>
      </c>
      <c r="W67" s="3" t="inlineStr">
        <is>
          <t>No</t>
        </is>
      </c>
      <c r="X67" s="3" t="inlineStr">
        <is>
          <t>No</t>
        </is>
      </c>
      <c r="Y67" s="4">
        <f>((K67*600000)+(L67*600000*0.5)+((M67+O67)*140160000)+((N67+O67)*210240000)+500)/350400000</f>
        <v/>
      </c>
      <c r="Z67" s="5">
        <f>(Y67*350400000*12)/1000000</f>
        <v/>
      </c>
      <c r="AA67" s="3">
        <f>IF(Q67&gt;=90,3,IF(Q67&gt;=80,2,IF(Q67&gt;=60,1,0)))+IF(P67&gt;=15,3,IF(P67&gt;=10,2,IF(P67&gt;=5,1,0)))+IF(S67="Yes",2,0)+IF(T67="Yes",2,0)+IF(U67="Yes",2,0)+IF(R67="Yes",1,0)+IF(V67="Yes",1,0)+IF(W67="Yes",2,0)+IF(X67="Yes",1,0)+IF(J67&gt;=50,1,0)</f>
        <v/>
      </c>
      <c r="AB67" s="3">
        <f>IF(AA67&gt;=14,"High",IF(AA67&gt;=8,"Mid","Low"))</f>
        <v/>
      </c>
      <c r="AC67" s="3" t="inlineStr">
        <is>
          <t>Base + PCA</t>
        </is>
      </c>
      <c r="AD67" s="3" t="inlineStr">
        <is>
          <t>Eastern WA/ID; hydro-heavy</t>
        </is>
      </c>
    </row>
    <row r="68">
      <c r="A68" s="3" t="n">
        <v>66</v>
      </c>
      <c r="B68" s="3" t="inlineStr">
        <is>
          <t>ConEdison</t>
        </is>
      </c>
      <c r="C68" s="3" t="inlineStr">
        <is>
          <t>NY</t>
        </is>
      </c>
      <c r="D68" s="3" t="inlineStr">
        <is>
          <t>Northeast</t>
        </is>
      </c>
      <c r="E68" s="3" t="inlineStr">
        <is>
          <t>NYISO</t>
        </is>
      </c>
      <c r="F68" s="3" t="inlineStr">
        <is>
          <t>Large Power Service</t>
        </is>
      </c>
      <c r="G68" s="3" t="inlineStr">
        <is>
          <t>SC 9</t>
        </is>
      </c>
      <c r="H68" s="3" t="inlineStr">
        <is>
          <t>2025-01-01</t>
        </is>
      </c>
      <c r="I68" s="3" t="inlineStr">
        <is>
          <t>Active</t>
        </is>
      </c>
      <c r="J68" s="3" t="n">
        <v>1</v>
      </c>
      <c r="K68" s="3" t="n">
        <v>28.5</v>
      </c>
      <c r="L68" s="3" t="n">
        <v>12.4</v>
      </c>
      <c r="M68" s="3" t="n">
        <v>0.145</v>
      </c>
      <c r="N68" s="3" t="n">
        <v>0.095</v>
      </c>
      <c r="O68" s="3" t="n">
        <v>0.025</v>
      </c>
      <c r="P68" s="3" t="n">
        <v>5</v>
      </c>
      <c r="Q68" s="3" t="n">
        <v>0</v>
      </c>
      <c r="R68" s="3" t="inlineStr">
        <is>
          <t>Yes</t>
        </is>
      </c>
      <c r="S68" s="3" t="inlineStr">
        <is>
          <t>Yes</t>
        </is>
      </c>
      <c r="T68" s="3" t="inlineStr">
        <is>
          <t>No</t>
        </is>
      </c>
      <c r="U68" s="3" t="inlineStr">
        <is>
          <t>No</t>
        </is>
      </c>
      <c r="V68" s="3" t="inlineStr">
        <is>
          <t>Yes</t>
        </is>
      </c>
      <c r="W68" s="3" t="inlineStr">
        <is>
          <t>No</t>
        </is>
      </c>
      <c r="X68" s="3" t="inlineStr">
        <is>
          <t>No</t>
        </is>
      </c>
      <c r="Y68" s="4">
        <f>((K68*600000)+(L68*600000*0.5)+((M68+O68)*140160000)+((N68+O68)*210240000)+500)/350400000</f>
        <v/>
      </c>
      <c r="Z68" s="5">
        <f>(Y68*350400000*12)/1000000</f>
        <v/>
      </c>
      <c r="AA68" s="3">
        <f>IF(Q68&gt;=90,3,IF(Q68&gt;=80,2,IF(Q68&gt;=60,1,0)))+IF(P68&gt;=15,3,IF(P68&gt;=10,2,IF(P68&gt;=5,1,0)))+IF(S68="Yes",2,0)+IF(T68="Yes",2,0)+IF(U68="Yes",2,0)+IF(R68="Yes",1,0)+IF(V68="Yes",1,0)+IF(W68="Yes",2,0)+IF(X68="Yes",1,0)+IF(J68&gt;=50,1,0)</f>
        <v/>
      </c>
      <c r="AB68" s="3">
        <f>IF(AA68&gt;=14,"High",IF(AA68&gt;=8,"Mid","Low"))</f>
        <v/>
      </c>
      <c r="AC68" s="3" t="inlineStr">
        <is>
          <t>Base + MAC + SBC + RPS</t>
        </is>
      </c>
      <c r="AD68" s="3" t="inlineStr">
        <is>
          <t>NYC metro highest rates; NYISO $180/MW-day</t>
        </is>
      </c>
    </row>
    <row r="69">
      <c r="A69" s="3" t="n">
        <v>67</v>
      </c>
      <c r="B69" s="3" t="inlineStr">
        <is>
          <t>National Grid (NY)</t>
        </is>
      </c>
      <c r="C69" s="3" t="inlineStr">
        <is>
          <t>NY</t>
        </is>
      </c>
      <c r="D69" s="3" t="inlineStr">
        <is>
          <t>Northeast</t>
        </is>
      </c>
      <c r="E69" s="3" t="inlineStr">
        <is>
          <t>NYISO</t>
        </is>
      </c>
      <c r="F69" s="3" t="inlineStr">
        <is>
          <t>Large Commercial Service</t>
        </is>
      </c>
      <c r="G69" s="3" t="inlineStr">
        <is>
          <t>Schedule LC</t>
        </is>
      </c>
      <c r="H69" s="3" t="inlineStr">
        <is>
          <t>2025-01-01</t>
        </is>
      </c>
      <c r="I69" s="3" t="inlineStr">
        <is>
          <t>Active</t>
        </is>
      </c>
      <c r="J69" s="3" t="n">
        <v>0.1</v>
      </c>
      <c r="K69" s="3" t="n">
        <v>12.8</v>
      </c>
      <c r="L69" s="3" t="n">
        <v>5.2</v>
      </c>
      <c r="M69" s="3" t="n">
        <v>0.08500000000000001</v>
      </c>
      <c r="N69" s="3" t="n">
        <v>0.058</v>
      </c>
      <c r="O69" s="3" t="n">
        <v>0.02</v>
      </c>
      <c r="P69" s="3" t="n">
        <v>5</v>
      </c>
      <c r="Q69" s="3" t="n">
        <v>0</v>
      </c>
      <c r="R69" s="3" t="inlineStr">
        <is>
          <t>Yes</t>
        </is>
      </c>
      <c r="S69" s="3" t="inlineStr">
        <is>
          <t>Yes</t>
        </is>
      </c>
      <c r="T69" s="3" t="inlineStr">
        <is>
          <t>No</t>
        </is>
      </c>
      <c r="U69" s="3" t="inlineStr">
        <is>
          <t>No</t>
        </is>
      </c>
      <c r="V69" s="3" t="inlineStr">
        <is>
          <t>Yes</t>
        </is>
      </c>
      <c r="W69" s="3" t="inlineStr">
        <is>
          <t>No</t>
        </is>
      </c>
      <c r="X69" s="3" t="inlineStr">
        <is>
          <t>No</t>
        </is>
      </c>
      <c r="Y69" s="4">
        <f>((K69*600000)+(L69*600000*0.5)+((M69+O69)*140160000)+((N69+O69)*210240000)+500)/350400000</f>
        <v/>
      </c>
      <c r="Z69" s="5">
        <f>(Y69*350400000*12)/1000000</f>
        <v/>
      </c>
      <c r="AA69" s="3">
        <f>IF(Q69&gt;=90,3,IF(Q69&gt;=80,2,IF(Q69&gt;=60,1,0)))+IF(P69&gt;=15,3,IF(P69&gt;=10,2,IF(P69&gt;=5,1,0)))+IF(S69="Yes",2,0)+IF(T69="Yes",2,0)+IF(U69="Yes",2,0)+IF(R69="Yes",1,0)+IF(V69="Yes",1,0)+IF(W69="Yes",2,0)+IF(X69="Yes",1,0)+IF(J69&gt;=50,1,0)</f>
        <v/>
      </c>
      <c r="AB69" s="3">
        <f>IF(AA69&gt;=14,"High",IF(AA69&gt;=8,"Mid","Low"))</f>
        <v/>
      </c>
      <c r="AC69" s="3" t="inlineStr">
        <is>
          <t>Base + SBC + RPS</t>
        </is>
      </c>
      <c r="AD69" s="3" t="inlineStr">
        <is>
          <t>&gt;100kW for 12 consecutive months</t>
        </is>
      </c>
    </row>
    <row r="70">
      <c r="A70" s="3" t="n">
        <v>68</v>
      </c>
      <c r="B70" s="3" t="inlineStr">
        <is>
          <t>Eversource (CT)</t>
        </is>
      </c>
      <c r="C70" s="3" t="inlineStr">
        <is>
          <t>CT</t>
        </is>
      </c>
      <c r="D70" s="3" t="inlineStr">
        <is>
          <t>Northeast</t>
        </is>
      </c>
      <c r="E70" s="3" t="inlineStr">
        <is>
          <t>ISO-NE</t>
        </is>
      </c>
      <c r="F70" s="3" t="inlineStr">
        <is>
          <t>Intermediate TOU General</t>
        </is>
      </c>
      <c r="G70" s="3" t="inlineStr">
        <is>
          <t>Schedule 37</t>
        </is>
      </c>
      <c r="H70" s="3" t="inlineStr">
        <is>
          <t>2025-07-01</t>
        </is>
      </c>
      <c r="I70" s="3" t="inlineStr">
        <is>
          <t>Active</t>
        </is>
      </c>
      <c r="J70" s="3" t="n">
        <v>0.35</v>
      </c>
      <c r="K70" s="3" t="n">
        <v>14.2</v>
      </c>
      <c r="L70" s="3" t="n">
        <v>6.8</v>
      </c>
      <c r="M70" s="3" t="n">
        <v>0.11</v>
      </c>
      <c r="N70" s="3" t="n">
        <v>0.075</v>
      </c>
      <c r="O70" s="3" t="n">
        <v>0.02</v>
      </c>
      <c r="P70" s="3" t="n">
        <v>5</v>
      </c>
      <c r="Q70" s="3" t="n">
        <v>0</v>
      </c>
      <c r="R70" s="3" t="inlineStr">
        <is>
          <t>Yes</t>
        </is>
      </c>
      <c r="S70" s="3" t="inlineStr">
        <is>
          <t>Yes</t>
        </is>
      </c>
      <c r="T70" s="3" t="inlineStr">
        <is>
          <t>No</t>
        </is>
      </c>
      <c r="U70" s="3" t="inlineStr">
        <is>
          <t>No</t>
        </is>
      </c>
      <c r="V70" s="3" t="inlineStr">
        <is>
          <t>Yes</t>
        </is>
      </c>
      <c r="W70" s="3" t="inlineStr">
        <is>
          <t>No</t>
        </is>
      </c>
      <c r="X70" s="3" t="inlineStr">
        <is>
          <t>No</t>
        </is>
      </c>
      <c r="Y70" s="4">
        <f>((K70*600000)+(L70*600000*0.5)+((M70+O70)*140160000)+((N70+O70)*210240000)+500)/350400000</f>
        <v/>
      </c>
      <c r="Z70" s="5">
        <f>(Y70*350400000*12)/1000000</f>
        <v/>
      </c>
      <c r="AA70" s="3">
        <f>IF(Q70&gt;=90,3,IF(Q70&gt;=80,2,IF(Q70&gt;=60,1,0)))+IF(P70&gt;=15,3,IF(P70&gt;=10,2,IF(P70&gt;=5,1,0)))+IF(S70="Yes",2,0)+IF(T70="Yes",2,0)+IF(U70="Yes",2,0)+IF(R70="Yes",1,0)+IF(V70="Yes",1,0)+IF(W70="Yes",2,0)+IF(X70="Yes",1,0)+IF(J70&gt;=50,1,0)</f>
        <v/>
      </c>
      <c r="AB70" s="3">
        <f>IF(AA70&gt;=14,"High",IF(AA70&gt;=8,"Mid","Low"))</f>
        <v/>
      </c>
      <c r="AC70" s="3" t="inlineStr">
        <is>
          <t>Base + SBC + Transmission</t>
        </is>
      </c>
      <c r="AD70" s="3" t="inlineStr">
        <is>
          <t>350kW-1,000kW</t>
        </is>
      </c>
    </row>
    <row r="71">
      <c r="A71" s="3" t="n">
        <v>69</v>
      </c>
      <c r="B71" s="3" t="inlineStr">
        <is>
          <t>Eversource (MA)</t>
        </is>
      </c>
      <c r="C71" s="3" t="inlineStr">
        <is>
          <t>MA</t>
        </is>
      </c>
      <c r="D71" s="3" t="inlineStr">
        <is>
          <t>Northeast</t>
        </is>
      </c>
      <c r="E71" s="3" t="inlineStr">
        <is>
          <t>ISO-NE</t>
        </is>
      </c>
      <c r="F71" s="3" t="inlineStr">
        <is>
          <t>Large General TOU</t>
        </is>
      </c>
      <c r="G71" s="3" t="inlineStr">
        <is>
          <t>Rate G-3</t>
        </is>
      </c>
      <c r="H71" s="3" t="inlineStr">
        <is>
          <t>2025-01-01</t>
        </is>
      </c>
      <c r="I71" s="3" t="inlineStr">
        <is>
          <t>Active</t>
        </is>
      </c>
      <c r="J71" s="3" t="n">
        <v>1</v>
      </c>
      <c r="K71" s="3" t="n">
        <v>16.5</v>
      </c>
      <c r="L71" s="3" t="n">
        <v>7.2</v>
      </c>
      <c r="M71" s="3" t="n">
        <v>0.125</v>
      </c>
      <c r="N71" s="3" t="n">
        <v>0.08500000000000001</v>
      </c>
      <c r="O71" s="3" t="n">
        <v>0.022</v>
      </c>
      <c r="P71" s="3" t="n">
        <v>5</v>
      </c>
      <c r="Q71" s="3" t="n">
        <v>0</v>
      </c>
      <c r="R71" s="3" t="inlineStr">
        <is>
          <t>Yes</t>
        </is>
      </c>
      <c r="S71" s="3" t="inlineStr">
        <is>
          <t>Yes</t>
        </is>
      </c>
      <c r="T71" s="3" t="inlineStr">
        <is>
          <t>No</t>
        </is>
      </c>
      <c r="U71" s="3" t="inlineStr">
        <is>
          <t>No</t>
        </is>
      </c>
      <c r="V71" s="3" t="inlineStr">
        <is>
          <t>Yes</t>
        </is>
      </c>
      <c r="W71" s="3" t="inlineStr">
        <is>
          <t>No</t>
        </is>
      </c>
      <c r="X71" s="3" t="inlineStr">
        <is>
          <t>No</t>
        </is>
      </c>
      <c r="Y71" s="4">
        <f>((K71*600000)+(L71*600000*0.5)+((M71+O71)*140160000)+((N71+O71)*210240000)+500)/350400000</f>
        <v/>
      </c>
      <c r="Z71" s="5">
        <f>(Y71*350400000*12)/1000000</f>
        <v/>
      </c>
      <c r="AA71" s="3">
        <f>IF(Q71&gt;=90,3,IF(Q71&gt;=80,2,IF(Q71&gt;=60,1,0)))+IF(P71&gt;=15,3,IF(P71&gt;=10,2,IF(P71&gt;=5,1,0)))+IF(S71="Yes",2,0)+IF(T71="Yes",2,0)+IF(U71="Yes",2,0)+IF(R71="Yes",1,0)+IF(V71="Yes",1,0)+IF(W71="Yes",2,0)+IF(X71="Yes",1,0)+IF(J71&gt;=50,1,0)</f>
        <v/>
      </c>
      <c r="AB71" s="3">
        <f>IF(AA71&gt;=14,"High",IF(AA71&gt;=8,"Mid","Low"))</f>
        <v/>
      </c>
      <c r="AC71" s="3" t="inlineStr">
        <is>
          <t>Base + Trans + Dist</t>
        </is>
      </c>
      <c r="AD71" s="3" t="inlineStr">
        <is>
          <t>Eastern MA service territory</t>
        </is>
      </c>
    </row>
    <row r="72">
      <c r="A72" s="3" t="n">
        <v>70</v>
      </c>
      <c r="B72" s="3" t="inlineStr">
        <is>
          <t>National Grid (MA)</t>
        </is>
      </c>
      <c r="C72" s="3" t="inlineStr">
        <is>
          <t>MA</t>
        </is>
      </c>
      <c r="D72" s="3" t="inlineStr">
        <is>
          <t>Northeast</t>
        </is>
      </c>
      <c r="E72" s="3" t="inlineStr">
        <is>
          <t>ISO-NE</t>
        </is>
      </c>
      <c r="F72" s="3" t="inlineStr">
        <is>
          <t>Large General TOU</t>
        </is>
      </c>
      <c r="G72" s="3" t="inlineStr">
        <is>
          <t>G-3</t>
        </is>
      </c>
      <c r="H72" s="3" t="inlineStr">
        <is>
          <t>2025-01-01</t>
        </is>
      </c>
      <c r="I72" s="3" t="inlineStr">
        <is>
          <t>Active</t>
        </is>
      </c>
      <c r="J72" s="3" t="n">
        <v>1</v>
      </c>
      <c r="K72" s="3" t="n">
        <v>14.8</v>
      </c>
      <c r="L72" s="3" t="n">
        <v>6.5</v>
      </c>
      <c r="M72" s="3" t="n">
        <v>0.115</v>
      </c>
      <c r="N72" s="3" t="n">
        <v>0.078</v>
      </c>
      <c r="O72" s="3" t="n">
        <v>0.02</v>
      </c>
      <c r="P72" s="3" t="n">
        <v>5</v>
      </c>
      <c r="Q72" s="3" t="n">
        <v>0</v>
      </c>
      <c r="R72" s="3" t="inlineStr">
        <is>
          <t>Yes</t>
        </is>
      </c>
      <c r="S72" s="3" t="inlineStr">
        <is>
          <t>Yes</t>
        </is>
      </c>
      <c r="T72" s="3" t="inlineStr">
        <is>
          <t>No</t>
        </is>
      </c>
      <c r="U72" s="3" t="inlineStr">
        <is>
          <t>No</t>
        </is>
      </c>
      <c r="V72" s="3" t="inlineStr">
        <is>
          <t>Yes</t>
        </is>
      </c>
      <c r="W72" s="3" t="inlineStr">
        <is>
          <t>No</t>
        </is>
      </c>
      <c r="X72" s="3" t="inlineStr">
        <is>
          <t>No</t>
        </is>
      </c>
      <c r="Y72" s="4">
        <f>((K72*600000)+(L72*600000*0.5)+((M72+O72)*140160000)+((N72+O72)*210240000)+500)/350400000</f>
        <v/>
      </c>
      <c r="Z72" s="5">
        <f>(Y72*350400000*12)/1000000</f>
        <v/>
      </c>
      <c r="AA72" s="3">
        <f>IF(Q72&gt;=90,3,IF(Q72&gt;=80,2,IF(Q72&gt;=60,1,0)))+IF(P72&gt;=15,3,IF(P72&gt;=10,2,IF(P72&gt;=5,1,0)))+IF(S72="Yes",2,0)+IF(T72="Yes",2,0)+IF(U72="Yes",2,0)+IF(R72="Yes",1,0)+IF(V72="Yes",1,0)+IF(W72="Yes",2,0)+IF(X72="Yes",1,0)+IF(J72&gt;=50,1,0)</f>
        <v/>
      </c>
      <c r="AB72" s="3">
        <f>IF(AA72&gt;=14,"High",IF(AA72&gt;=8,"Mid","Low"))</f>
        <v/>
      </c>
      <c r="AC72" s="3" t="inlineStr">
        <is>
          <t>Base + Trans + SBC</t>
        </is>
      </c>
      <c r="AD72" s="3" t="inlineStr">
        <is>
          <t>Western MA</t>
        </is>
      </c>
    </row>
    <row r="73">
      <c r="A73" s="3" t="n">
        <v>71</v>
      </c>
      <c r="B73" s="3" t="inlineStr">
        <is>
          <t>United Illuminating</t>
        </is>
      </c>
      <c r="C73" s="3" t="inlineStr">
        <is>
          <t>CT</t>
        </is>
      </c>
      <c r="D73" s="3" t="inlineStr">
        <is>
          <t>Northeast</t>
        </is>
      </c>
      <c r="E73" s="3" t="inlineStr">
        <is>
          <t>ISO-NE</t>
        </is>
      </c>
      <c r="F73" s="3" t="inlineStr">
        <is>
          <t>Large Power TOU</t>
        </is>
      </c>
      <c r="G73" s="3" t="inlineStr">
        <is>
          <t>Rate LPT</t>
        </is>
      </c>
      <c r="H73" s="3" t="inlineStr">
        <is>
          <t>2025-01-01</t>
        </is>
      </c>
      <c r="I73" s="3" t="inlineStr">
        <is>
          <t>Active</t>
        </is>
      </c>
      <c r="J73" s="3" t="n">
        <v>0.5</v>
      </c>
      <c r="K73" s="3" t="n">
        <v>15.2</v>
      </c>
      <c r="L73" s="3" t="n">
        <v>6.8</v>
      </c>
      <c r="M73" s="3" t="n">
        <v>0.118</v>
      </c>
      <c r="N73" s="3" t="n">
        <v>0.082</v>
      </c>
      <c r="O73" s="3" t="n">
        <v>0.02</v>
      </c>
      <c r="P73" s="3" t="n">
        <v>5</v>
      </c>
      <c r="Q73" s="3" t="n">
        <v>0</v>
      </c>
      <c r="R73" s="3" t="inlineStr">
        <is>
          <t>Yes</t>
        </is>
      </c>
      <c r="S73" s="3" t="inlineStr">
        <is>
          <t>Yes</t>
        </is>
      </c>
      <c r="T73" s="3" t="inlineStr">
        <is>
          <t>No</t>
        </is>
      </c>
      <c r="U73" s="3" t="inlineStr">
        <is>
          <t>No</t>
        </is>
      </c>
      <c r="V73" s="3" t="inlineStr">
        <is>
          <t>Yes</t>
        </is>
      </c>
      <c r="W73" s="3" t="inlineStr">
        <is>
          <t>No</t>
        </is>
      </c>
      <c r="X73" s="3" t="inlineStr">
        <is>
          <t>No</t>
        </is>
      </c>
      <c r="Y73" s="4">
        <f>((K73*600000)+(L73*600000*0.5)+((M73+O73)*140160000)+((N73+O73)*210240000)+500)/350400000</f>
        <v/>
      </c>
      <c r="Z73" s="5">
        <f>(Y73*350400000*12)/1000000</f>
        <v/>
      </c>
      <c r="AA73" s="3">
        <f>IF(Q73&gt;=90,3,IF(Q73&gt;=80,2,IF(Q73&gt;=60,1,0)))+IF(P73&gt;=15,3,IF(P73&gt;=10,2,IF(P73&gt;=5,1,0)))+IF(S73="Yes",2,0)+IF(T73="Yes",2,0)+IF(U73="Yes",2,0)+IF(R73="Yes",1,0)+IF(V73="Yes",1,0)+IF(W73="Yes",2,0)+IF(X73="Yes",1,0)+IF(J73&gt;=50,1,0)</f>
        <v/>
      </c>
      <c r="AB73" s="3">
        <f>IF(AA73&gt;=14,"High",IF(AA73&gt;=8,"Mid","Low"))</f>
        <v/>
      </c>
      <c r="AC73" s="3" t="inlineStr">
        <is>
          <t>Base + SBC + Trans</t>
        </is>
      </c>
      <c r="AD73" s="3" t="inlineStr">
        <is>
          <t>Southern CT; Avangrid subsidiary</t>
        </is>
      </c>
    </row>
    <row r="74">
      <c r="A74" s="3" t="n">
        <v>72</v>
      </c>
      <c r="B74" s="3" t="inlineStr">
        <is>
          <t>National Grid (RI)</t>
        </is>
      </c>
      <c r="C74" s="3" t="inlineStr">
        <is>
          <t>RI</t>
        </is>
      </c>
      <c r="D74" s="3" t="inlineStr">
        <is>
          <t>Northeast</t>
        </is>
      </c>
      <c r="E74" s="3" t="inlineStr">
        <is>
          <t>ISO-NE</t>
        </is>
      </c>
      <c r="F74" s="3" t="inlineStr">
        <is>
          <t>Large Demand</t>
        </is>
      </c>
      <c r="G74" s="3" t="inlineStr">
        <is>
          <t>Rate G-32</t>
        </is>
      </c>
      <c r="H74" s="3" t="inlineStr">
        <is>
          <t>2025-01-01</t>
        </is>
      </c>
      <c r="I74" s="3" t="inlineStr">
        <is>
          <t>Active</t>
        </is>
      </c>
      <c r="J74" s="3" t="n">
        <v>0.2</v>
      </c>
      <c r="K74" s="3" t="n">
        <v>13.5</v>
      </c>
      <c r="L74" s="3" t="n">
        <v>5.8</v>
      </c>
      <c r="M74" s="3" t="n">
        <v>0.108</v>
      </c>
      <c r="N74" s="3" t="n">
        <v>0.075</v>
      </c>
      <c r="O74" s="3" t="n">
        <v>0.02</v>
      </c>
      <c r="P74" s="3" t="n">
        <v>5</v>
      </c>
      <c r="Q74" s="3" t="n">
        <v>0</v>
      </c>
      <c r="R74" s="3" t="inlineStr">
        <is>
          <t>Yes</t>
        </is>
      </c>
      <c r="S74" s="3" t="inlineStr">
        <is>
          <t>Yes</t>
        </is>
      </c>
      <c r="T74" s="3" t="inlineStr">
        <is>
          <t>No</t>
        </is>
      </c>
      <c r="U74" s="3" t="inlineStr">
        <is>
          <t>No</t>
        </is>
      </c>
      <c r="V74" s="3" t="inlineStr">
        <is>
          <t>Yes</t>
        </is>
      </c>
      <c r="W74" s="3" t="inlineStr">
        <is>
          <t>No</t>
        </is>
      </c>
      <c r="X74" s="3" t="inlineStr">
        <is>
          <t>No</t>
        </is>
      </c>
      <c r="Y74" s="4">
        <f>((K74*600000)+(L74*600000*0.5)+((M74+O74)*140160000)+((N74+O74)*210240000)+500)/350400000</f>
        <v/>
      </c>
      <c r="Z74" s="5">
        <f>(Y74*350400000*12)/1000000</f>
        <v/>
      </c>
      <c r="AA74" s="3">
        <f>IF(Q74&gt;=90,3,IF(Q74&gt;=80,2,IF(Q74&gt;=60,1,0)))+IF(P74&gt;=15,3,IF(P74&gt;=10,2,IF(P74&gt;=5,1,0)))+IF(S74="Yes",2,0)+IF(T74="Yes",2,0)+IF(U74="Yes",2,0)+IF(R74="Yes",1,0)+IF(V74="Yes",1,0)+IF(W74="Yes",2,0)+IF(X74="Yes",1,0)+IF(J74&gt;=50,1,0)</f>
        <v/>
      </c>
      <c r="AB74" s="3">
        <f>IF(AA74&gt;=14,"High",IF(AA74&gt;=8,"Mid","Low"))</f>
        <v/>
      </c>
      <c r="AC74" s="3" t="inlineStr">
        <is>
          <t>Base + Trans + Dist</t>
        </is>
      </c>
      <c r="AD74" s="3" t="inlineStr">
        <is>
          <t>Rhode Island service territory</t>
        </is>
      </c>
    </row>
    <row r="75">
      <c r="A75" s="3" t="n">
        <v>73</v>
      </c>
      <c r="B75" s="3" t="inlineStr">
        <is>
          <t>AEP Appalachian Power</t>
        </is>
      </c>
      <c r="C75" s="3" t="inlineStr">
        <is>
          <t>VA/WV</t>
        </is>
      </c>
      <c r="D75" s="3" t="inlineStr">
        <is>
          <t>Southeast</t>
        </is>
      </c>
      <c r="E75" s="3" t="inlineStr">
        <is>
          <t>PJM</t>
        </is>
      </c>
      <c r="F75" s="3" t="inlineStr">
        <is>
          <t>Large General Service</t>
        </is>
      </c>
      <c r="G75" s="3" t="inlineStr">
        <is>
          <t>Schedule LGS</t>
        </is>
      </c>
      <c r="H75" s="3" t="inlineStr">
        <is>
          <t>2025-01-30</t>
        </is>
      </c>
      <c r="I75" s="3" t="inlineStr">
        <is>
          <t>Active</t>
        </is>
      </c>
      <c r="J75" s="3" t="n">
        <v>1</v>
      </c>
      <c r="K75" s="3" t="n">
        <v>13.5</v>
      </c>
      <c r="L75" s="3" t="n">
        <v>6.75</v>
      </c>
      <c r="M75" s="3" t="n">
        <v>0.0285</v>
      </c>
      <c r="N75" s="3" t="n">
        <v>0.0215</v>
      </c>
      <c r="O75" s="3" t="n">
        <v>0.028</v>
      </c>
      <c r="P75" s="3" t="n">
        <v>5</v>
      </c>
      <c r="Q75" s="3" t="n">
        <v>80</v>
      </c>
      <c r="R75" s="3" t="inlineStr">
        <is>
          <t>Yes</t>
        </is>
      </c>
      <c r="S75" s="3" t="inlineStr">
        <is>
          <t>Yes</t>
        </is>
      </c>
      <c r="T75" s="3" t="inlineStr">
        <is>
          <t>No</t>
        </is>
      </c>
      <c r="U75" s="3" t="inlineStr">
        <is>
          <t>Yes</t>
        </is>
      </c>
      <c r="V75" s="3" t="inlineStr">
        <is>
          <t>Yes</t>
        </is>
      </c>
      <c r="W75" s="3" t="inlineStr">
        <is>
          <t>No</t>
        </is>
      </c>
      <c r="X75" s="3" t="inlineStr">
        <is>
          <t>No</t>
        </is>
      </c>
      <c r="Y75" s="3">
        <f>((K75*600000)+(L75*600000*0.5)+((M75+O75)*140160000)+((N75+O75)*210240000)+500)/350400000</f>
        <v/>
      </c>
      <c r="Z75" s="3">
        <f>(Y75*350400000*12)/1000000</f>
        <v/>
      </c>
      <c r="AA75" s="3">
        <f>IF(Q75&gt;=90,3,IF(Q75&gt;=80,2,IF(Q75&gt;=60,1,0)))+IF(P75&gt;=15,3,IF(P75&gt;=10,2,IF(P75&gt;=5,1,0)))+IF(S75="Yes",2,0)+IF(T75="Yes",2,0)+IF(U75="Yes",2,0)+IF(R75="Yes",1,0)+IF(V75="Yes",1,0)+IF(W75="Yes",2,0)+IF(X75="Yes",1,0)+IF(J75&gt;=50,1,0)</f>
        <v/>
      </c>
      <c r="AB75" s="3">
        <f>IF(AA75&gt;=14,"High",IF(AA75&gt;=8,"Mid","Low"))</f>
        <v/>
      </c>
      <c r="AC75" s="3" t="inlineStr">
        <is>
          <t>Base + Fuel Adj + Trans</t>
        </is>
      </c>
      <c r="AD75" s="3" t="n"/>
    </row>
    <row r="76">
      <c r="A76" s="3" t="n">
        <v>74</v>
      </c>
      <c r="B76" s="3" t="inlineStr">
        <is>
          <t>AEP Indiana Michigan Power</t>
        </is>
      </c>
      <c r="C76" s="3" t="inlineStr">
        <is>
          <t>IN/MI</t>
        </is>
      </c>
      <c r="D76" s="3" t="inlineStr">
        <is>
          <t>Midwest</t>
        </is>
      </c>
      <c r="E76" s="3" t="inlineStr">
        <is>
          <t>PJM/MISO</t>
        </is>
      </c>
      <c r="F76" s="3" t="inlineStr">
        <is>
          <t>Large Power Service</t>
        </is>
      </c>
      <c r="G76" s="3" t="inlineStr">
        <is>
          <t>Schedule LPS</t>
        </is>
      </c>
      <c r="H76" s="3" t="inlineStr">
        <is>
          <t>2025-01-30</t>
        </is>
      </c>
      <c r="I76" s="3" t="inlineStr">
        <is>
          <t>Active</t>
        </is>
      </c>
      <c r="J76" s="3" t="n">
        <v>1</v>
      </c>
      <c r="K76" s="3" t="n">
        <v>12.8</v>
      </c>
      <c r="L76" s="3" t="n">
        <v>6.4</v>
      </c>
      <c r="M76" s="3" t="n">
        <v>0.0265</v>
      </c>
      <c r="N76" s="3" t="n">
        <v>0.0198</v>
      </c>
      <c r="O76" s="3" t="n">
        <v>0.025</v>
      </c>
      <c r="P76" s="3" t="n">
        <v>5</v>
      </c>
      <c r="Q76" s="3" t="n">
        <v>75</v>
      </c>
      <c r="R76" s="3" t="inlineStr">
        <is>
          <t>Yes</t>
        </is>
      </c>
      <c r="S76" s="3" t="inlineStr">
        <is>
          <t>No</t>
        </is>
      </c>
      <c r="T76" s="3" t="inlineStr">
        <is>
          <t>No</t>
        </is>
      </c>
      <c r="U76" s="3" t="inlineStr">
        <is>
          <t>No</t>
        </is>
      </c>
      <c r="V76" s="3" t="inlineStr">
        <is>
          <t>Yes</t>
        </is>
      </c>
      <c r="W76" s="3" t="inlineStr">
        <is>
          <t>No</t>
        </is>
      </c>
      <c r="X76" s="3" t="inlineStr">
        <is>
          <t>No</t>
        </is>
      </c>
      <c r="Y76" s="3">
        <f>((K76*600000)+(L76*600000*0.5)+((M76+O76)*140160000)+((N76+O76)*210240000)+500)/350400000</f>
        <v/>
      </c>
      <c r="Z76" s="3">
        <f>(Y76*350400000*12)/1000000</f>
        <v/>
      </c>
      <c r="AA76" s="3">
        <f>IF(Q76&gt;=90,3,IF(Q76&gt;=80,2,IF(Q76&gt;=60,1,0)))+IF(P76&gt;=15,3,IF(P76&gt;=10,2,IF(P76&gt;=5,1,0)))+IF(S76="Yes",2,0)+IF(T76="Yes",2,0)+IF(U76="Yes",2,0)+IF(R76="Yes",1,0)+IF(V76="Yes",1,0)+IF(W76="Yes",2,0)+IF(X76="Yes",1,0)+IF(J76&gt;=50,1,0)</f>
        <v/>
      </c>
      <c r="AB76" s="3">
        <f>IF(AA76&gt;=14,"High",IF(AA76&gt;=8,"Mid","Low"))</f>
        <v/>
      </c>
      <c r="AC76" s="3" t="inlineStr">
        <is>
          <t>Base + Fuel Adj + Trans</t>
        </is>
      </c>
      <c r="AD76" s="3" t="n"/>
    </row>
    <row r="77">
      <c r="A77" s="3" t="n">
        <v>75</v>
      </c>
      <c r="B77" s="3" t="inlineStr">
        <is>
          <t>AEP Kentucky Power</t>
        </is>
      </c>
      <c r="C77" s="3" t="inlineStr">
        <is>
          <t>KY</t>
        </is>
      </c>
      <c r="D77" s="3" t="inlineStr">
        <is>
          <t>Southeast</t>
        </is>
      </c>
      <c r="E77" s="3" t="inlineStr">
        <is>
          <t>PJM</t>
        </is>
      </c>
      <c r="F77" s="3" t="inlineStr">
        <is>
          <t>Large General Service</t>
        </is>
      </c>
      <c r="G77" s="3" t="inlineStr">
        <is>
          <t>Schedule LGS</t>
        </is>
      </c>
      <c r="H77" s="3" t="inlineStr">
        <is>
          <t>2025-01-30</t>
        </is>
      </c>
      <c r="I77" s="3" t="inlineStr">
        <is>
          <t>Active</t>
        </is>
      </c>
      <c r="J77" s="3" t="n">
        <v>1</v>
      </c>
      <c r="K77" s="3" t="n">
        <v>11.95</v>
      </c>
      <c r="L77" s="3" t="n">
        <v>5.98</v>
      </c>
      <c r="M77" s="3" t="n">
        <v>0.0258</v>
      </c>
      <c r="N77" s="3" t="n">
        <v>0.0195</v>
      </c>
      <c r="O77" s="3" t="n">
        <v>0.03</v>
      </c>
      <c r="P77" s="3" t="n">
        <v>5</v>
      </c>
      <c r="Q77" s="3" t="n">
        <v>80</v>
      </c>
      <c r="R77" s="3" t="inlineStr">
        <is>
          <t>Yes</t>
        </is>
      </c>
      <c r="S77" s="3" t="inlineStr">
        <is>
          <t>Yes</t>
        </is>
      </c>
      <c r="T77" s="3" t="inlineStr">
        <is>
          <t>No</t>
        </is>
      </c>
      <c r="U77" s="3" t="inlineStr">
        <is>
          <t>Yes</t>
        </is>
      </c>
      <c r="V77" s="3" t="inlineStr">
        <is>
          <t>Yes</t>
        </is>
      </c>
      <c r="W77" s="3" t="inlineStr">
        <is>
          <t>No</t>
        </is>
      </c>
      <c r="X77" s="3" t="inlineStr">
        <is>
          <t>No</t>
        </is>
      </c>
      <c r="Y77" s="3">
        <f>((K77*600000)+(L77*600000*0.5)+((M77+O77)*140160000)+((N77+O77)*210240000)+500)/350400000</f>
        <v/>
      </c>
      <c r="Z77" s="3">
        <f>(Y77*350400000*12)/1000000</f>
        <v/>
      </c>
      <c r="AA77" s="3">
        <f>IF(Q77&gt;=90,3,IF(Q77&gt;=80,2,IF(Q77&gt;=60,1,0)))+IF(P77&gt;=15,3,IF(P77&gt;=10,2,IF(P77&gt;=5,1,0)))+IF(S77="Yes",2,0)+IF(T77="Yes",2,0)+IF(U77="Yes",2,0)+IF(R77="Yes",1,0)+IF(V77="Yes",1,0)+IF(W77="Yes",2,0)+IF(X77="Yes",1,0)+IF(J77&gt;=50,1,0)</f>
        <v/>
      </c>
      <c r="AB77" s="3">
        <f>IF(AA77&gt;=14,"High",IF(AA77&gt;=8,"Mid","Low"))</f>
        <v/>
      </c>
      <c r="AC77" s="3" t="inlineStr">
        <is>
          <t>Base + Fuel Adj + Trans</t>
        </is>
      </c>
      <c r="AD77" s="3" t="n"/>
    </row>
    <row r="78">
      <c r="A78" s="3" t="n">
        <v>76</v>
      </c>
      <c r="B78" s="3" t="inlineStr">
        <is>
          <t>Entergy Arkansas</t>
        </is>
      </c>
      <c r="C78" s="3" t="inlineStr">
        <is>
          <t>AR</t>
        </is>
      </c>
      <c r="D78" s="3" t="inlineStr">
        <is>
          <t>South Central</t>
        </is>
      </c>
      <c r="E78" s="3" t="inlineStr">
        <is>
          <t>MISO</t>
        </is>
      </c>
      <c r="F78" s="3" t="inlineStr">
        <is>
          <t>Large General Service</t>
        </is>
      </c>
      <c r="G78" s="3" t="inlineStr">
        <is>
          <t>Schedule LGS-TOD</t>
        </is>
      </c>
      <c r="H78" s="3" t="inlineStr">
        <is>
          <t>2025-01-30</t>
        </is>
      </c>
      <c r="I78" s="3" t="inlineStr">
        <is>
          <t>Active</t>
        </is>
      </c>
      <c r="J78" s="3" t="n">
        <v>1</v>
      </c>
      <c r="K78" s="3" t="n">
        <v>9.85</v>
      </c>
      <c r="L78" s="3" t="n">
        <v>4.93</v>
      </c>
      <c r="M78" s="3" t="n">
        <v>0.0235</v>
      </c>
      <c r="N78" s="3" t="n">
        <v>0.0175</v>
      </c>
      <c r="O78" s="3" t="n">
        <v>0.022</v>
      </c>
      <c r="P78" s="3" t="n">
        <v>5</v>
      </c>
      <c r="Q78" s="3" t="n">
        <v>70</v>
      </c>
      <c r="R78" s="3" t="inlineStr">
        <is>
          <t>Yes</t>
        </is>
      </c>
      <c r="S78" s="3" t="inlineStr">
        <is>
          <t>No</t>
        </is>
      </c>
      <c r="T78" s="3" t="inlineStr">
        <is>
          <t>No</t>
        </is>
      </c>
      <c r="U78" s="3" t="inlineStr">
        <is>
          <t>No</t>
        </is>
      </c>
      <c r="V78" s="3" t="inlineStr">
        <is>
          <t>Yes</t>
        </is>
      </c>
      <c r="W78" s="3" t="inlineStr">
        <is>
          <t>No</t>
        </is>
      </c>
      <c r="X78" s="3" t="inlineStr">
        <is>
          <t>No</t>
        </is>
      </c>
      <c r="Y78" s="3">
        <f>((K78*600000)+(L78*600000*0.5)+((M78+O78)*140160000)+((N78+O78)*210240000)+500)/350400000</f>
        <v/>
      </c>
      <c r="Z78" s="3">
        <f>(Y78*350400000*12)/1000000</f>
        <v/>
      </c>
      <c r="AA78" s="3">
        <f>IF(Q78&gt;=90,3,IF(Q78&gt;=80,2,IF(Q78&gt;=60,1,0)))+IF(P78&gt;=15,3,IF(P78&gt;=10,2,IF(P78&gt;=5,1,0)))+IF(S78="Yes",2,0)+IF(T78="Yes",2,0)+IF(U78="Yes",2,0)+IF(R78="Yes",1,0)+IF(V78="Yes",1,0)+IF(W78="Yes",2,0)+IF(X78="Yes",1,0)+IF(J78&gt;=50,1,0)</f>
        <v/>
      </c>
      <c r="AB78" s="3">
        <f>IF(AA78&gt;=14,"High",IF(AA78&gt;=8,"Mid","Low"))</f>
        <v/>
      </c>
      <c r="AC78" s="3" t="inlineStr">
        <is>
          <t>Base + Fuel Adj + Trans</t>
        </is>
      </c>
      <c r="AD78" s="3" t="n"/>
    </row>
    <row r="79">
      <c r="A79" s="3" t="n">
        <v>77</v>
      </c>
      <c r="B79" s="3" t="inlineStr">
        <is>
          <t>Entergy Texas</t>
        </is>
      </c>
      <c r="C79" s="3" t="inlineStr">
        <is>
          <t>TX</t>
        </is>
      </c>
      <c r="D79" s="3" t="inlineStr">
        <is>
          <t>Gulf Coast</t>
        </is>
      </c>
      <c r="E79" s="3" t="inlineStr">
        <is>
          <t>MISO</t>
        </is>
      </c>
      <c r="F79" s="3" t="inlineStr">
        <is>
          <t>Large Industrial Power</t>
        </is>
      </c>
      <c r="G79" s="3" t="inlineStr">
        <is>
          <t>Schedule LIP</t>
        </is>
      </c>
      <c r="H79" s="3" t="inlineStr">
        <is>
          <t>2025-01-30</t>
        </is>
      </c>
      <c r="I79" s="3" t="inlineStr">
        <is>
          <t>Active</t>
        </is>
      </c>
      <c r="J79" s="3" t="n">
        <v>1</v>
      </c>
      <c r="K79" s="3" t="n">
        <v>10.25</v>
      </c>
      <c r="L79" s="3" t="n">
        <v>5.13</v>
      </c>
      <c r="M79" s="3" t="n">
        <v>0.0248</v>
      </c>
      <c r="N79" s="3" t="n">
        <v>0.0185</v>
      </c>
      <c r="O79" s="3" t="n">
        <v>0.024</v>
      </c>
      <c r="P79" s="3" t="n">
        <v>5</v>
      </c>
      <c r="Q79" s="3" t="n">
        <v>75</v>
      </c>
      <c r="R79" s="3" t="inlineStr">
        <is>
          <t>Yes</t>
        </is>
      </c>
      <c r="S79" s="3" t="inlineStr">
        <is>
          <t>No</t>
        </is>
      </c>
      <c r="T79" s="3" t="inlineStr">
        <is>
          <t>No</t>
        </is>
      </c>
      <c r="U79" s="3" t="inlineStr">
        <is>
          <t>No</t>
        </is>
      </c>
      <c r="V79" s="3" t="inlineStr">
        <is>
          <t>Yes</t>
        </is>
      </c>
      <c r="W79" s="3" t="inlineStr">
        <is>
          <t>No</t>
        </is>
      </c>
      <c r="X79" s="3" t="inlineStr">
        <is>
          <t>No</t>
        </is>
      </c>
      <c r="Y79" s="3">
        <f>((K79*600000)+(L79*600000*0.5)+((M79+O79)*140160000)+((N79+O79)*210240000)+500)/350400000</f>
        <v/>
      </c>
      <c r="Z79" s="3">
        <f>(Y79*350400000*12)/1000000</f>
        <v/>
      </c>
      <c r="AA79" s="3">
        <f>IF(Q79&gt;=90,3,IF(Q79&gt;=80,2,IF(Q79&gt;=60,1,0)))+IF(P79&gt;=15,3,IF(P79&gt;=10,2,IF(P79&gt;=5,1,0)))+IF(S79="Yes",2,0)+IF(T79="Yes",2,0)+IF(U79="Yes",2,0)+IF(R79="Yes",1,0)+IF(V79="Yes",1,0)+IF(W79="Yes",2,0)+IF(X79="Yes",1,0)+IF(J79&gt;=50,1,0)</f>
        <v/>
      </c>
      <c r="AB79" s="3">
        <f>IF(AA79&gt;=14,"High",IF(AA79&gt;=8,"Mid","Low"))</f>
        <v/>
      </c>
      <c r="AC79" s="3" t="inlineStr">
        <is>
          <t>Base + Fuel Adj + Trans</t>
        </is>
      </c>
      <c r="AD79" s="3" t="n"/>
    </row>
    <row r="80">
      <c r="A80" s="3" t="n">
        <v>78</v>
      </c>
      <c r="B80" s="3" t="inlineStr">
        <is>
          <t>Entergy Mississippi</t>
        </is>
      </c>
      <c r="C80" s="3" t="inlineStr">
        <is>
          <t>MS</t>
        </is>
      </c>
      <c r="D80" s="3" t="inlineStr">
        <is>
          <t>Southeast</t>
        </is>
      </c>
      <c r="E80" s="3" t="inlineStr">
        <is>
          <t>MISO</t>
        </is>
      </c>
      <c r="F80" s="3" t="inlineStr">
        <is>
          <t>Large General Service</t>
        </is>
      </c>
      <c r="G80" s="3" t="inlineStr">
        <is>
          <t>Schedule LGS</t>
        </is>
      </c>
      <c r="H80" s="3" t="inlineStr">
        <is>
          <t>2025-01-30</t>
        </is>
      </c>
      <c r="I80" s="3" t="inlineStr">
        <is>
          <t>Active</t>
        </is>
      </c>
      <c r="J80" s="3" t="n">
        <v>1</v>
      </c>
      <c r="K80" s="3" t="n">
        <v>9.65</v>
      </c>
      <c r="L80" s="3" t="n">
        <v>4.83</v>
      </c>
      <c r="M80" s="3" t="n">
        <v>0.0228</v>
      </c>
      <c r="N80" s="3" t="n">
        <v>0.0172</v>
      </c>
      <c r="O80" s="3" t="n">
        <v>0.023</v>
      </c>
      <c r="P80" s="3" t="n">
        <v>5</v>
      </c>
      <c r="Q80" s="3" t="n">
        <v>70</v>
      </c>
      <c r="R80" s="3" t="inlineStr">
        <is>
          <t>Yes</t>
        </is>
      </c>
      <c r="S80" s="3" t="inlineStr">
        <is>
          <t>No</t>
        </is>
      </c>
      <c r="T80" s="3" t="inlineStr">
        <is>
          <t>No</t>
        </is>
      </c>
      <c r="U80" s="3" t="inlineStr">
        <is>
          <t>No</t>
        </is>
      </c>
      <c r="V80" s="3" t="inlineStr">
        <is>
          <t>Yes</t>
        </is>
      </c>
      <c r="W80" s="3" t="inlineStr">
        <is>
          <t>No</t>
        </is>
      </c>
      <c r="X80" s="3" t="inlineStr">
        <is>
          <t>No</t>
        </is>
      </c>
      <c r="Y80" s="3">
        <f>((K80*600000)+(L80*600000*0.5)+((M80+O80)*140160000)+((N80+O80)*210240000)+500)/350400000</f>
        <v/>
      </c>
      <c r="Z80" s="3">
        <f>(Y80*350400000*12)/1000000</f>
        <v/>
      </c>
      <c r="AA80" s="3">
        <f>IF(Q80&gt;=90,3,IF(Q80&gt;=80,2,IF(Q80&gt;=60,1,0)))+IF(P80&gt;=15,3,IF(P80&gt;=10,2,IF(P80&gt;=5,1,0)))+IF(S80="Yes",2,0)+IF(T80="Yes",2,0)+IF(U80="Yes",2,0)+IF(R80="Yes",1,0)+IF(V80="Yes",1,0)+IF(W80="Yes",2,0)+IF(X80="Yes",1,0)+IF(J80&gt;=50,1,0)</f>
        <v/>
      </c>
      <c r="AB80" s="3">
        <f>IF(AA80&gt;=14,"High",IF(AA80&gt;=8,"Mid","Low"))</f>
        <v/>
      </c>
      <c r="AC80" s="3" t="inlineStr">
        <is>
          <t>Base + Fuel Adj + Trans</t>
        </is>
      </c>
      <c r="AD80" s="3" t="n"/>
    </row>
    <row r="81">
      <c r="A81" s="3" t="n">
        <v>79</v>
      </c>
      <c r="B81" s="3" t="inlineStr">
        <is>
          <t>Entergy New Orleans</t>
        </is>
      </c>
      <c r="C81" s="3" t="inlineStr">
        <is>
          <t>LA</t>
        </is>
      </c>
      <c r="D81" s="3" t="inlineStr">
        <is>
          <t>Gulf Coast</t>
        </is>
      </c>
      <c r="E81" s="3" t="inlineStr">
        <is>
          <t>MISO</t>
        </is>
      </c>
      <c r="F81" s="3" t="inlineStr">
        <is>
          <t>Large Electric Service</t>
        </is>
      </c>
      <c r="G81" s="3" t="inlineStr">
        <is>
          <t>Schedule LES</t>
        </is>
      </c>
      <c r="H81" s="3" t="inlineStr">
        <is>
          <t>2025-01-30</t>
        </is>
      </c>
      <c r="I81" s="3" t="inlineStr">
        <is>
          <t>Active</t>
        </is>
      </c>
      <c r="J81" s="3" t="n">
        <v>0.5</v>
      </c>
      <c r="K81" s="3" t="n">
        <v>11.45</v>
      </c>
      <c r="L81" s="3" t="n">
        <v>5.73</v>
      </c>
      <c r="M81" s="3" t="n">
        <v>0.0265</v>
      </c>
      <c r="N81" s="3" t="n">
        <v>0.0198</v>
      </c>
      <c r="O81" s="3" t="n">
        <v>0.026</v>
      </c>
      <c r="P81" s="3" t="n">
        <v>5</v>
      </c>
      <c r="Q81" s="3" t="n">
        <v>75</v>
      </c>
      <c r="R81" s="3" t="inlineStr">
        <is>
          <t>Yes</t>
        </is>
      </c>
      <c r="S81" s="3" t="inlineStr">
        <is>
          <t>No</t>
        </is>
      </c>
      <c r="T81" s="3" t="inlineStr">
        <is>
          <t>No</t>
        </is>
      </c>
      <c r="U81" s="3" t="inlineStr">
        <is>
          <t>No</t>
        </is>
      </c>
      <c r="V81" s="3" t="inlineStr">
        <is>
          <t>Yes</t>
        </is>
      </c>
      <c r="W81" s="3" t="inlineStr">
        <is>
          <t>No</t>
        </is>
      </c>
      <c r="X81" s="3" t="inlineStr">
        <is>
          <t>No</t>
        </is>
      </c>
      <c r="Y81" s="3">
        <f>((K81*600000)+(L81*600000*0.5)+((M81+O81)*140160000)+((N81+O81)*210240000)+500)/350400000</f>
        <v/>
      </c>
      <c r="Z81" s="3">
        <f>(Y81*350400000*12)/1000000</f>
        <v/>
      </c>
      <c r="AA81" s="3">
        <f>IF(Q81&gt;=90,3,IF(Q81&gt;=80,2,IF(Q81&gt;=60,1,0)))+IF(P81&gt;=15,3,IF(P81&gt;=10,2,IF(P81&gt;=5,1,0)))+IF(S81="Yes",2,0)+IF(T81="Yes",2,0)+IF(U81="Yes",2,0)+IF(R81="Yes",1,0)+IF(V81="Yes",1,0)+IF(W81="Yes",2,0)+IF(X81="Yes",1,0)+IF(J81&gt;=50,1,0)</f>
        <v/>
      </c>
      <c r="AB81" s="3">
        <f>IF(AA81&gt;=14,"High",IF(AA81&gt;=8,"Mid","Low"))</f>
        <v/>
      </c>
      <c r="AC81" s="3" t="inlineStr">
        <is>
          <t>Base + Fuel Adj + Trans</t>
        </is>
      </c>
      <c r="AD81" s="3" t="n"/>
    </row>
    <row r="82">
      <c r="A82" s="3" t="n">
        <v>80</v>
      </c>
      <c r="B82" s="3" t="inlineStr">
        <is>
          <t>Empire District Electric</t>
        </is>
      </c>
      <c r="C82" s="3" t="inlineStr">
        <is>
          <t>MO/KS/AR/OK</t>
        </is>
      </c>
      <c r="D82" s="3" t="inlineStr">
        <is>
          <t>Plains</t>
        </is>
      </c>
      <c r="E82" s="3" t="inlineStr">
        <is>
          <t>SPP</t>
        </is>
      </c>
      <c r="F82" s="3" t="inlineStr">
        <is>
          <t>Large Power Service</t>
        </is>
      </c>
      <c r="G82" s="3" t="inlineStr">
        <is>
          <t>Schedule LP</t>
        </is>
      </c>
      <c r="H82" s="3" t="inlineStr">
        <is>
          <t>2025-01-30</t>
        </is>
      </c>
      <c r="I82" s="3" t="inlineStr">
        <is>
          <t>Active</t>
        </is>
      </c>
      <c r="J82" s="3" t="n">
        <v>1</v>
      </c>
      <c r="K82" s="3" t="n">
        <v>10.85</v>
      </c>
      <c r="L82" s="3" t="n">
        <v>5.43</v>
      </c>
      <c r="M82" s="3" t="n">
        <v>0.0255</v>
      </c>
      <c r="N82" s="3" t="n">
        <v>0.0192</v>
      </c>
      <c r="O82" s="3" t="n">
        <v>0.028</v>
      </c>
      <c r="P82" s="3" t="n">
        <v>5</v>
      </c>
      <c r="Q82" s="3" t="n">
        <v>75</v>
      </c>
      <c r="R82" s="3" t="inlineStr">
        <is>
          <t>Yes</t>
        </is>
      </c>
      <c r="S82" s="3" t="inlineStr">
        <is>
          <t>No</t>
        </is>
      </c>
      <c r="T82" s="3" t="inlineStr">
        <is>
          <t>No</t>
        </is>
      </c>
      <c r="U82" s="3" t="inlineStr">
        <is>
          <t>No</t>
        </is>
      </c>
      <c r="V82" s="3" t="inlineStr">
        <is>
          <t>Yes</t>
        </is>
      </c>
      <c r="W82" s="3" t="inlineStr">
        <is>
          <t>No</t>
        </is>
      </c>
      <c r="X82" s="3" t="inlineStr">
        <is>
          <t>No</t>
        </is>
      </c>
      <c r="Y82" s="3">
        <f>((K82*600000)+(L82*600000*0.5)+((M82+O82)*140160000)+((N82+O82)*210240000)+500)/350400000</f>
        <v/>
      </c>
      <c r="Z82" s="3">
        <f>(Y82*350400000*12)/1000000</f>
        <v/>
      </c>
      <c r="AA82" s="3">
        <f>IF(Q82&gt;=90,3,IF(Q82&gt;=80,2,IF(Q82&gt;=60,1,0)))+IF(P82&gt;=15,3,IF(P82&gt;=10,2,IF(P82&gt;=5,1,0)))+IF(S82="Yes",2,0)+IF(T82="Yes",2,0)+IF(U82="Yes",2,0)+IF(R82="Yes",1,0)+IF(V82="Yes",1,0)+IF(W82="Yes",2,0)+IF(X82="Yes",1,0)+IF(J82&gt;=50,1,0)</f>
        <v/>
      </c>
      <c r="AB82" s="3">
        <f>IF(AA82&gt;=14,"High",IF(AA82&gt;=8,"Mid","Low"))</f>
        <v/>
      </c>
      <c r="AC82" s="3" t="inlineStr">
        <is>
          <t>Base + Fuel Adj + Trans</t>
        </is>
      </c>
      <c r="AD82" s="3" t="n"/>
    </row>
    <row r="83">
      <c r="A83" s="3" t="n">
        <v>81</v>
      </c>
      <c r="B83" s="3" t="inlineStr">
        <is>
          <t>Southwestern Public Service (Xcel)</t>
        </is>
      </c>
      <c r="C83" s="3" t="inlineStr">
        <is>
          <t>TX/NM</t>
        </is>
      </c>
      <c r="D83" s="3" t="inlineStr">
        <is>
          <t>Southwest</t>
        </is>
      </c>
      <c r="E83" s="3" t="inlineStr">
        <is>
          <t>SPP</t>
        </is>
      </c>
      <c r="F83" s="3" t="inlineStr">
        <is>
          <t>Large General Service</t>
        </is>
      </c>
      <c r="G83" s="3" t="inlineStr">
        <is>
          <t>Schedule 36</t>
        </is>
      </c>
      <c r="H83" s="3" t="inlineStr">
        <is>
          <t>2025-01-30</t>
        </is>
      </c>
      <c r="I83" s="3" t="inlineStr">
        <is>
          <t>Active</t>
        </is>
      </c>
      <c r="J83" s="3" t="n">
        <v>1</v>
      </c>
      <c r="K83" s="3" t="n">
        <v>11.25</v>
      </c>
      <c r="L83" s="3" t="n">
        <v>5.63</v>
      </c>
      <c r="M83" s="3" t="n">
        <v>0.0268</v>
      </c>
      <c r="N83" s="3" t="n">
        <v>0.0202</v>
      </c>
      <c r="O83" s="3" t="n">
        <v>0.025</v>
      </c>
      <c r="P83" s="3" t="n">
        <v>5</v>
      </c>
      <c r="Q83" s="3" t="n">
        <v>80</v>
      </c>
      <c r="R83" s="3" t="inlineStr">
        <is>
          <t>Yes</t>
        </is>
      </c>
      <c r="S83" s="3" t="inlineStr">
        <is>
          <t>No</t>
        </is>
      </c>
      <c r="T83" s="3" t="inlineStr">
        <is>
          <t>No</t>
        </is>
      </c>
      <c r="U83" s="3" t="inlineStr">
        <is>
          <t>No</t>
        </is>
      </c>
      <c r="V83" s="3" t="inlineStr">
        <is>
          <t>Yes</t>
        </is>
      </c>
      <c r="W83" s="3" t="inlineStr">
        <is>
          <t>No</t>
        </is>
      </c>
      <c r="X83" s="3" t="inlineStr">
        <is>
          <t>No</t>
        </is>
      </c>
      <c r="Y83" s="3">
        <f>((K83*600000)+(L83*600000*0.5)+((M83+O83)*140160000)+((N83+O83)*210240000)+500)/350400000</f>
        <v/>
      </c>
      <c r="Z83" s="3">
        <f>(Y83*350400000*12)/1000000</f>
        <v/>
      </c>
      <c r="AA83" s="3">
        <f>IF(Q83&gt;=90,3,IF(Q83&gt;=80,2,IF(Q83&gt;=60,1,0)))+IF(P83&gt;=15,3,IF(P83&gt;=10,2,IF(P83&gt;=5,1,0)))+IF(S83="Yes",2,0)+IF(T83="Yes",2,0)+IF(U83="Yes",2,0)+IF(R83="Yes",1,0)+IF(V83="Yes",1,0)+IF(W83="Yes",2,0)+IF(X83="Yes",1,0)+IF(J83&gt;=50,1,0)</f>
        <v/>
      </c>
      <c r="AB83" s="3">
        <f>IF(AA83&gt;=14,"High",IF(AA83&gt;=8,"Mid","Low"))</f>
        <v/>
      </c>
      <c r="AC83" s="3" t="inlineStr">
        <is>
          <t>Base + Fuel Adj + Trans</t>
        </is>
      </c>
      <c r="AD83" s="3" t="n"/>
    </row>
    <row r="84">
      <c r="A84" s="3" t="n">
        <v>82</v>
      </c>
      <c r="B84" s="3" t="inlineStr">
        <is>
          <t>Public Service Company of New Mexico (PNM)</t>
        </is>
      </c>
      <c r="C84" s="3" t="inlineStr">
        <is>
          <t>NM</t>
        </is>
      </c>
      <c r="D84" s="3" t="inlineStr">
        <is>
          <t>Southwest</t>
        </is>
      </c>
      <c r="E84" s="3" t="inlineStr">
        <is>
          <t>None (EIM)</t>
        </is>
      </c>
      <c r="F84" s="3" t="inlineStr">
        <is>
          <t>Large Power Service</t>
        </is>
      </c>
      <c r="G84" s="3" t="inlineStr">
        <is>
          <t>Schedule 3B</t>
        </is>
      </c>
      <c r="H84" s="3" t="inlineStr">
        <is>
          <t>2025-01-30</t>
        </is>
      </c>
      <c r="I84" s="3" t="inlineStr">
        <is>
          <t>Active</t>
        </is>
      </c>
      <c r="J84" s="3" t="n">
        <v>1</v>
      </c>
      <c r="K84" s="3" t="n">
        <v>12.45</v>
      </c>
      <c r="L84" s="3" t="n">
        <v>6.23</v>
      </c>
      <c r="M84" s="3" t="n">
        <v>0.0285</v>
      </c>
      <c r="N84" s="3" t="n">
        <v>0.0215</v>
      </c>
      <c r="O84" s="3" t="n">
        <v>0.018</v>
      </c>
      <c r="P84" s="3" t="n">
        <v>5</v>
      </c>
      <c r="Q84" s="3" t="n">
        <v>75</v>
      </c>
      <c r="R84" s="3" t="inlineStr">
        <is>
          <t>Yes</t>
        </is>
      </c>
      <c r="S84" s="3" t="inlineStr">
        <is>
          <t>No</t>
        </is>
      </c>
      <c r="T84" s="3" t="inlineStr">
        <is>
          <t>No</t>
        </is>
      </c>
      <c r="U84" s="3" t="inlineStr">
        <is>
          <t>No</t>
        </is>
      </c>
      <c r="V84" s="3" t="inlineStr">
        <is>
          <t>Yes</t>
        </is>
      </c>
      <c r="W84" s="3" t="inlineStr">
        <is>
          <t>No</t>
        </is>
      </c>
      <c r="X84" s="3" t="inlineStr">
        <is>
          <t>No</t>
        </is>
      </c>
      <c r="Y84" s="3">
        <f>((K84*600000)+(L84*600000*0.5)+((M84+O84)*140160000)+((N84+O84)*210240000)+500)/350400000</f>
        <v/>
      </c>
      <c r="Z84" s="3">
        <f>(Y84*350400000*12)/1000000</f>
        <v/>
      </c>
      <c r="AA84" s="3">
        <f>IF(Q84&gt;=90,3,IF(Q84&gt;=80,2,IF(Q84&gt;=60,1,0)))+IF(P84&gt;=15,3,IF(P84&gt;=10,2,IF(P84&gt;=5,1,0)))+IF(S84="Yes",2,0)+IF(T84="Yes",2,0)+IF(U84="Yes",2,0)+IF(R84="Yes",1,0)+IF(V84="Yes",1,0)+IF(W84="Yes",2,0)+IF(X84="Yes",1,0)+IF(J84&gt;=50,1,0)</f>
        <v/>
      </c>
      <c r="AB84" s="3">
        <f>IF(AA84&gt;=14,"High",IF(AA84&gt;=8,"Mid","Low"))</f>
        <v/>
      </c>
      <c r="AC84" s="3" t="inlineStr">
        <is>
          <t>Base + Fuel Adj + Trans</t>
        </is>
      </c>
      <c r="AD84" s="3" t="n"/>
    </row>
    <row r="85">
      <c r="A85" s="3" t="n">
        <v>83</v>
      </c>
      <c r="B85" s="3" t="inlineStr">
        <is>
          <t>NorthWestern Energy (MT)</t>
        </is>
      </c>
      <c r="C85" s="3" t="inlineStr">
        <is>
          <t>MT</t>
        </is>
      </c>
      <c r="D85" s="3" t="inlineStr">
        <is>
          <t>Northwest</t>
        </is>
      </c>
      <c r="E85" s="3" t="inlineStr">
        <is>
          <t>None</t>
        </is>
      </c>
      <c r="F85" s="3" t="inlineStr">
        <is>
          <t>Large General Service</t>
        </is>
      </c>
      <c r="G85" s="3" t="inlineStr">
        <is>
          <t>Schedule LGS</t>
        </is>
      </c>
      <c r="H85" s="3" t="inlineStr">
        <is>
          <t>2025-01-30</t>
        </is>
      </c>
      <c r="I85" s="3" t="inlineStr">
        <is>
          <t>Active</t>
        </is>
      </c>
      <c r="J85" s="3" t="n">
        <v>1</v>
      </c>
      <c r="K85" s="3" t="n">
        <v>10.95</v>
      </c>
      <c r="L85" s="3" t="n">
        <v>5.48</v>
      </c>
      <c r="M85" s="3" t="n">
        <v>0.0248</v>
      </c>
      <c r="N85" s="3" t="n">
        <v>0.0188</v>
      </c>
      <c r="O85" s="3" t="n">
        <v>0.02</v>
      </c>
      <c r="P85" s="3" t="n">
        <v>5</v>
      </c>
      <c r="Q85" s="3" t="n">
        <v>70</v>
      </c>
      <c r="R85" s="3" t="inlineStr">
        <is>
          <t>Yes</t>
        </is>
      </c>
      <c r="S85" s="3" t="inlineStr">
        <is>
          <t>No</t>
        </is>
      </c>
      <c r="T85" s="3" t="inlineStr">
        <is>
          <t>No</t>
        </is>
      </c>
      <c r="U85" s="3" t="inlineStr">
        <is>
          <t>No</t>
        </is>
      </c>
      <c r="V85" s="3" t="inlineStr">
        <is>
          <t>Yes</t>
        </is>
      </c>
      <c r="W85" s="3" t="inlineStr">
        <is>
          <t>No</t>
        </is>
      </c>
      <c r="X85" s="3" t="inlineStr">
        <is>
          <t>No</t>
        </is>
      </c>
      <c r="Y85" s="3">
        <f>((K85*600000)+(L85*600000*0.5)+((M85+O85)*140160000)+((N85+O85)*210240000)+500)/350400000</f>
        <v/>
      </c>
      <c r="Z85" s="3">
        <f>(Y85*350400000*12)/1000000</f>
        <v/>
      </c>
      <c r="AA85" s="3">
        <f>IF(Q85&gt;=90,3,IF(Q85&gt;=80,2,IF(Q85&gt;=60,1,0)))+IF(P85&gt;=15,3,IF(P85&gt;=10,2,IF(P85&gt;=5,1,0)))+IF(S85="Yes",2,0)+IF(T85="Yes",2,0)+IF(U85="Yes",2,0)+IF(R85="Yes",1,0)+IF(V85="Yes",1,0)+IF(W85="Yes",2,0)+IF(X85="Yes",1,0)+IF(J85&gt;=50,1,0)</f>
        <v/>
      </c>
      <c r="AB85" s="3">
        <f>IF(AA85&gt;=14,"High",IF(AA85&gt;=8,"Mid","Low"))</f>
        <v/>
      </c>
      <c r="AC85" s="3" t="inlineStr">
        <is>
          <t>Base + Fuel Adj + Trans</t>
        </is>
      </c>
      <c r="AD85" s="3" t="n"/>
    </row>
    <row r="86">
      <c r="A86" s="3" t="n">
        <v>84</v>
      </c>
      <c r="B86" s="3" t="inlineStr">
        <is>
          <t>NorthWestern Energy (SD)</t>
        </is>
      </c>
      <c r="C86" s="3" t="inlineStr">
        <is>
          <t>SD</t>
        </is>
      </c>
      <c r="D86" s="3" t="inlineStr">
        <is>
          <t>Plains</t>
        </is>
      </c>
      <c r="E86" s="3" t="inlineStr">
        <is>
          <t>None</t>
        </is>
      </c>
      <c r="F86" s="3" t="inlineStr">
        <is>
          <t>Large General Service</t>
        </is>
      </c>
      <c r="G86" s="3" t="inlineStr">
        <is>
          <t>Schedule LGS</t>
        </is>
      </c>
      <c r="H86" s="3" t="inlineStr">
        <is>
          <t>2025-01-30</t>
        </is>
      </c>
      <c r="I86" s="3" t="inlineStr">
        <is>
          <t>Active</t>
        </is>
      </c>
      <c r="J86" s="3" t="n">
        <v>1</v>
      </c>
      <c r="K86" s="3" t="n">
        <v>10.75</v>
      </c>
      <c r="L86" s="3" t="n">
        <v>5.38</v>
      </c>
      <c r="M86" s="3" t="n">
        <v>0.0242</v>
      </c>
      <c r="N86" s="3" t="n">
        <v>0.0182</v>
      </c>
      <c r="O86" s="3" t="n">
        <v>0.019</v>
      </c>
      <c r="P86" s="3" t="n">
        <v>5</v>
      </c>
      <c r="Q86" s="3" t="n">
        <v>70</v>
      </c>
      <c r="R86" s="3" t="inlineStr">
        <is>
          <t>Yes</t>
        </is>
      </c>
      <c r="S86" s="3" t="inlineStr">
        <is>
          <t>No</t>
        </is>
      </c>
      <c r="T86" s="3" t="inlineStr">
        <is>
          <t>No</t>
        </is>
      </c>
      <c r="U86" s="3" t="inlineStr">
        <is>
          <t>No</t>
        </is>
      </c>
      <c r="V86" s="3" t="inlineStr">
        <is>
          <t>Yes</t>
        </is>
      </c>
      <c r="W86" s="3" t="inlineStr">
        <is>
          <t>No</t>
        </is>
      </c>
      <c r="X86" s="3" t="inlineStr">
        <is>
          <t>No</t>
        </is>
      </c>
      <c r="Y86" s="3">
        <f>((K86*600000)+(L86*600000*0.5)+((M86+O86)*140160000)+((N86+O86)*210240000)+500)/350400000</f>
        <v/>
      </c>
      <c r="Z86" s="3">
        <f>(Y86*350400000*12)/1000000</f>
        <v/>
      </c>
      <c r="AA86" s="3">
        <f>IF(Q86&gt;=90,3,IF(Q86&gt;=80,2,IF(Q86&gt;=60,1,0)))+IF(P86&gt;=15,3,IF(P86&gt;=10,2,IF(P86&gt;=5,1,0)))+IF(S86="Yes",2,0)+IF(T86="Yes",2,0)+IF(U86="Yes",2,0)+IF(R86="Yes",1,0)+IF(V86="Yes",1,0)+IF(W86="Yes",2,0)+IF(X86="Yes",1,0)+IF(J86&gt;=50,1,0)</f>
        <v/>
      </c>
      <c r="AB86" s="3">
        <f>IF(AA86&gt;=14,"High",IF(AA86&gt;=8,"Mid","Low"))</f>
        <v/>
      </c>
      <c r="AC86" s="3" t="inlineStr">
        <is>
          <t>Base + Fuel Adj + Trans</t>
        </is>
      </c>
      <c r="AD86" s="3" t="n"/>
    </row>
    <row r="87">
      <c r="A87" s="3" t="n">
        <v>85</v>
      </c>
      <c r="B87" s="3" t="inlineStr">
        <is>
          <t>Gulf Power (NextEra)</t>
        </is>
      </c>
      <c r="C87" s="3" t="inlineStr">
        <is>
          <t>FL</t>
        </is>
      </c>
      <c r="D87" s="3" t="inlineStr">
        <is>
          <t>Southeast</t>
        </is>
      </c>
      <c r="E87" s="3" t="inlineStr">
        <is>
          <t>None</t>
        </is>
      </c>
      <c r="F87" s="3" t="inlineStr">
        <is>
          <t>Large Demand Service</t>
        </is>
      </c>
      <c r="G87" s="3" t="inlineStr">
        <is>
          <t>Schedule LDS-1</t>
        </is>
      </c>
      <c r="H87" s="3" t="inlineStr">
        <is>
          <t>2025-01-30</t>
        </is>
      </c>
      <c r="I87" s="3" t="inlineStr">
        <is>
          <t>Active</t>
        </is>
      </c>
      <c r="J87" s="3" t="n">
        <v>1</v>
      </c>
      <c r="K87" s="3" t="n">
        <v>12.85</v>
      </c>
      <c r="L87" s="3" t="n">
        <v>6.43</v>
      </c>
      <c r="M87" s="3" t="n">
        <v>0.0275</v>
      </c>
      <c r="N87" s="3" t="n">
        <v>0.0208</v>
      </c>
      <c r="O87" s="3" t="n">
        <v>0.032</v>
      </c>
      <c r="P87" s="3" t="n">
        <v>5</v>
      </c>
      <c r="Q87" s="3" t="n">
        <v>80</v>
      </c>
      <c r="R87" s="3" t="inlineStr">
        <is>
          <t>Yes</t>
        </is>
      </c>
      <c r="S87" s="3" t="inlineStr">
        <is>
          <t>Yes</t>
        </is>
      </c>
      <c r="T87" s="3" t="inlineStr">
        <is>
          <t>No</t>
        </is>
      </c>
      <c r="U87" s="3" t="inlineStr">
        <is>
          <t>Yes</t>
        </is>
      </c>
      <c r="V87" s="3" t="inlineStr">
        <is>
          <t>Yes</t>
        </is>
      </c>
      <c r="W87" s="3" t="inlineStr">
        <is>
          <t>No</t>
        </is>
      </c>
      <c r="X87" s="3" t="inlineStr">
        <is>
          <t>No</t>
        </is>
      </c>
      <c r="Y87" s="3">
        <f>((K87*600000)+(L87*600000*0.5)+((M87+O87)*140160000)+((N87+O87)*210240000)+500)/350400000</f>
        <v/>
      </c>
      <c r="Z87" s="3">
        <f>(Y87*350400000*12)/1000000</f>
        <v/>
      </c>
      <c r="AA87" s="3">
        <f>IF(Q87&gt;=90,3,IF(Q87&gt;=80,2,IF(Q87&gt;=60,1,0)))+IF(P87&gt;=15,3,IF(P87&gt;=10,2,IF(P87&gt;=5,1,0)))+IF(S87="Yes",2,0)+IF(T87="Yes",2,0)+IF(U87="Yes",2,0)+IF(R87="Yes",1,0)+IF(V87="Yes",1,0)+IF(W87="Yes",2,0)+IF(X87="Yes",1,0)+IF(J87&gt;=50,1,0)</f>
        <v/>
      </c>
      <c r="AB87" s="3">
        <f>IF(AA87&gt;=14,"High",IF(AA87&gt;=8,"Mid","Low"))</f>
        <v/>
      </c>
      <c r="AC87" s="3" t="inlineStr">
        <is>
          <t>Base + Fuel Adj + Trans</t>
        </is>
      </c>
      <c r="AD87" s="3" t="n"/>
    </row>
    <row r="88">
      <c r="A88" s="3" t="n">
        <v>86</v>
      </c>
      <c r="B88" s="3" t="inlineStr">
        <is>
          <t>Duke Energy Indiana</t>
        </is>
      </c>
      <c r="C88" s="3" t="inlineStr">
        <is>
          <t>IN</t>
        </is>
      </c>
      <c r="D88" s="3" t="inlineStr">
        <is>
          <t>Midwest</t>
        </is>
      </c>
      <c r="E88" s="3" t="inlineStr">
        <is>
          <t>MISO</t>
        </is>
      </c>
      <c r="F88" s="3" t="inlineStr">
        <is>
          <t>Rate HLF</t>
        </is>
      </c>
      <c r="G88" s="3" t="inlineStr">
        <is>
          <t>Schedule HLF</t>
        </is>
      </c>
      <c r="H88" s="3" t="inlineStr">
        <is>
          <t>2025-01-30</t>
        </is>
      </c>
      <c r="I88" s="3" t="inlineStr">
        <is>
          <t>Active</t>
        </is>
      </c>
      <c r="J88" s="3" t="n">
        <v>5</v>
      </c>
      <c r="K88" s="3" t="n">
        <v>11.45</v>
      </c>
      <c r="L88" s="3" t="n">
        <v>5.73</v>
      </c>
      <c r="M88" s="3" t="n">
        <v>0.0258</v>
      </c>
      <c r="N88" s="3" t="n">
        <v>0.0195</v>
      </c>
      <c r="O88" s="3" t="n">
        <v>0.026</v>
      </c>
      <c r="P88" s="3" t="n">
        <v>10</v>
      </c>
      <c r="Q88" s="3" t="n">
        <v>85</v>
      </c>
      <c r="R88" s="3" t="inlineStr">
        <is>
          <t>Yes</t>
        </is>
      </c>
      <c r="S88" s="3" t="inlineStr">
        <is>
          <t>Yes</t>
        </is>
      </c>
      <c r="T88" s="3" t="inlineStr">
        <is>
          <t>No</t>
        </is>
      </c>
      <c r="U88" s="3" t="inlineStr">
        <is>
          <t>Yes</t>
        </is>
      </c>
      <c r="V88" s="3" t="inlineStr">
        <is>
          <t>Yes</t>
        </is>
      </c>
      <c r="W88" s="3" t="inlineStr">
        <is>
          <t>No</t>
        </is>
      </c>
      <c r="X88" s="3" t="inlineStr">
        <is>
          <t>Yes</t>
        </is>
      </c>
      <c r="Y88" s="3">
        <f>((K88*600000)+(L88*600000*0.5)+((M88+O88)*140160000)+((N88+O88)*210240000)+500)/350400000</f>
        <v/>
      </c>
      <c r="Z88" s="3">
        <f>(Y88*350400000*12)/1000000</f>
        <v/>
      </c>
      <c r="AA88" s="3">
        <f>IF(Q88&gt;=90,3,IF(Q88&gt;=80,2,IF(Q88&gt;=60,1,0)))+IF(P88&gt;=15,3,IF(P88&gt;=10,2,IF(P88&gt;=5,1,0)))+IF(S88="Yes",2,0)+IF(T88="Yes",2,0)+IF(U88="Yes",2,0)+IF(R88="Yes",1,0)+IF(V88="Yes",1,0)+IF(W88="Yes",2,0)+IF(X88="Yes",1,0)+IF(J88&gt;=50,1,0)</f>
        <v/>
      </c>
      <c r="AB88" s="3">
        <f>IF(AA88&gt;=14,"High",IF(AA88&gt;=8,"Mid","Low"))</f>
        <v/>
      </c>
      <c r="AC88" s="3" t="inlineStr">
        <is>
          <t>Base + Fuel Adj + Trans</t>
        </is>
      </c>
      <c r="AD88" s="3" t="n"/>
    </row>
    <row r="89">
      <c r="A89" s="3" t="n">
        <v>87</v>
      </c>
      <c r="B89" s="3" t="inlineStr">
        <is>
          <t>Duke Energy Kentucky</t>
        </is>
      </c>
      <c r="C89" s="3" t="inlineStr">
        <is>
          <t>KY</t>
        </is>
      </c>
      <c r="D89" s="3" t="inlineStr">
        <is>
          <t>Southeast</t>
        </is>
      </c>
      <c r="E89" s="3" t="inlineStr">
        <is>
          <t>PJM</t>
        </is>
      </c>
      <c r="F89" s="3" t="inlineStr">
        <is>
          <t>Rate DS</t>
        </is>
      </c>
      <c r="G89" s="3" t="inlineStr">
        <is>
          <t>Schedule DS</t>
        </is>
      </c>
      <c r="H89" s="3" t="inlineStr">
        <is>
          <t>2025-01-30</t>
        </is>
      </c>
      <c r="I89" s="3" t="inlineStr">
        <is>
          <t>Active</t>
        </is>
      </c>
      <c r="J89" s="3" t="n">
        <v>1</v>
      </c>
      <c r="K89" s="3" t="n">
        <v>12.25</v>
      </c>
      <c r="L89" s="3" t="n">
        <v>6.13</v>
      </c>
      <c r="M89" s="3" t="n">
        <v>0.0268</v>
      </c>
      <c r="N89" s="3" t="n">
        <v>0.0202</v>
      </c>
      <c r="O89" s="3" t="n">
        <v>0.028</v>
      </c>
      <c r="P89" s="3" t="n">
        <v>5</v>
      </c>
      <c r="Q89" s="3" t="n">
        <v>80</v>
      </c>
      <c r="R89" s="3" t="inlineStr">
        <is>
          <t>Yes</t>
        </is>
      </c>
      <c r="S89" s="3" t="inlineStr">
        <is>
          <t>Yes</t>
        </is>
      </c>
      <c r="T89" s="3" t="inlineStr">
        <is>
          <t>No</t>
        </is>
      </c>
      <c r="U89" s="3" t="inlineStr">
        <is>
          <t>Yes</t>
        </is>
      </c>
      <c r="V89" s="3" t="inlineStr">
        <is>
          <t>Yes</t>
        </is>
      </c>
      <c r="W89" s="3" t="inlineStr">
        <is>
          <t>No</t>
        </is>
      </c>
      <c r="X89" s="3" t="inlineStr">
        <is>
          <t>No</t>
        </is>
      </c>
      <c r="Y89" s="3">
        <f>((K89*600000)+(L89*600000*0.5)+((M89+O89)*140160000)+((N89+O89)*210240000)+500)/350400000</f>
        <v/>
      </c>
      <c r="Z89" s="3">
        <f>(Y89*350400000*12)/1000000</f>
        <v/>
      </c>
      <c r="AA89" s="3">
        <f>IF(Q89&gt;=90,3,IF(Q89&gt;=80,2,IF(Q89&gt;=60,1,0)))+IF(P89&gt;=15,3,IF(P89&gt;=10,2,IF(P89&gt;=5,1,0)))+IF(S89="Yes",2,0)+IF(T89="Yes",2,0)+IF(U89="Yes",2,0)+IF(R89="Yes",1,0)+IF(V89="Yes",1,0)+IF(W89="Yes",2,0)+IF(X89="Yes",1,0)+IF(J89&gt;=50,1,0)</f>
        <v/>
      </c>
      <c r="AB89" s="3">
        <f>IF(AA89&gt;=14,"High",IF(AA89&gt;=8,"Mid","Low"))</f>
        <v/>
      </c>
      <c r="AC89" s="3" t="inlineStr">
        <is>
          <t>Base + Fuel Adj + Trans</t>
        </is>
      </c>
      <c r="AD89" s="3" t="n"/>
    </row>
    <row r="90">
      <c r="A90" s="3" t="n">
        <v>88</v>
      </c>
      <c r="B90" s="3" t="inlineStr">
        <is>
          <t>Duke Energy Ohio</t>
        </is>
      </c>
      <c r="C90" s="3" t="inlineStr">
        <is>
          <t>OH</t>
        </is>
      </c>
      <c r="D90" s="3" t="inlineStr">
        <is>
          <t>Midwest</t>
        </is>
      </c>
      <c r="E90" s="3" t="inlineStr">
        <is>
          <t>PJM</t>
        </is>
      </c>
      <c r="F90" s="3" t="inlineStr">
        <is>
          <t>Rate DP</t>
        </is>
      </c>
      <c r="G90" s="3" t="inlineStr">
        <is>
          <t>Schedule DP</t>
        </is>
      </c>
      <c r="H90" s="3" t="inlineStr">
        <is>
          <t>2025-01-30</t>
        </is>
      </c>
      <c r="I90" s="3" t="inlineStr">
        <is>
          <t>Active</t>
        </is>
      </c>
      <c r="J90" s="3" t="n">
        <v>1</v>
      </c>
      <c r="K90" s="3" t="n">
        <v>11.85</v>
      </c>
      <c r="L90" s="3" t="n">
        <v>5.93</v>
      </c>
      <c r="M90" s="3" t="n">
        <v>0.0262</v>
      </c>
      <c r="N90" s="3" t="n">
        <v>0.0198</v>
      </c>
      <c r="O90" s="3" t="n">
        <v>0.024</v>
      </c>
      <c r="P90" s="3" t="n">
        <v>5</v>
      </c>
      <c r="Q90" s="3" t="n">
        <v>80</v>
      </c>
      <c r="R90" s="3" t="inlineStr">
        <is>
          <t>Yes</t>
        </is>
      </c>
      <c r="S90" s="3" t="inlineStr">
        <is>
          <t>No</t>
        </is>
      </c>
      <c r="T90" s="3" t="inlineStr">
        <is>
          <t>No</t>
        </is>
      </c>
      <c r="U90" s="3" t="inlineStr">
        <is>
          <t>No</t>
        </is>
      </c>
      <c r="V90" s="3" t="inlineStr">
        <is>
          <t>Yes</t>
        </is>
      </c>
      <c r="W90" s="3" t="inlineStr">
        <is>
          <t>No</t>
        </is>
      </c>
      <c r="X90" s="3" t="inlineStr">
        <is>
          <t>No</t>
        </is>
      </c>
      <c r="Y90" s="3">
        <f>((K90*600000)+(L90*600000*0.5)+((M90+O90)*140160000)+((N90+O90)*210240000)+500)/350400000</f>
        <v/>
      </c>
      <c r="Z90" s="3">
        <f>(Y90*350400000*12)/1000000</f>
        <v/>
      </c>
      <c r="AA90" s="3">
        <f>IF(Q90&gt;=90,3,IF(Q90&gt;=80,2,IF(Q90&gt;=60,1,0)))+IF(P90&gt;=15,3,IF(P90&gt;=10,2,IF(P90&gt;=5,1,0)))+IF(S90="Yes",2,0)+IF(T90="Yes",2,0)+IF(U90="Yes",2,0)+IF(R90="Yes",1,0)+IF(V90="Yes",1,0)+IF(W90="Yes",2,0)+IF(X90="Yes",1,0)+IF(J90&gt;=50,1,0)</f>
        <v/>
      </c>
      <c r="AB90" s="3">
        <f>IF(AA90&gt;=14,"High",IF(AA90&gt;=8,"Mid","Low"))</f>
        <v/>
      </c>
      <c r="AC90" s="3" t="inlineStr">
        <is>
          <t>Base + Fuel Adj + Trans</t>
        </is>
      </c>
      <c r="AD9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B21" sqref="B21"/>
    </sheetView>
  </sheetViews>
  <sheetFormatPr baseColWidth="10" defaultColWidth="8.83203125" defaultRowHeight="15"/>
  <cols>
    <col width="14" customWidth="1" min="1" max="1"/>
    <col width="35" customWidth="1" min="2" max="2"/>
    <col width="14" customWidth="1" min="3" max="14"/>
  </cols>
  <sheetData>
    <row r="1">
      <c r="A1" s="6" t="inlineStr">
        <is>
          <t>Rank</t>
        </is>
      </c>
      <c r="B1" s="6" t="inlineStr">
        <is>
          <t>Utility</t>
        </is>
      </c>
      <c r="C1" s="6" t="inlineStr">
        <is>
          <t>State</t>
        </is>
      </c>
      <c r="D1" s="6" t="inlineStr">
        <is>
          <t>Region</t>
        </is>
      </c>
      <c r="E1" s="6" t="inlineStr">
        <is>
          <t>ISO/RTO</t>
        </is>
      </c>
      <c r="F1" s="6" t="inlineStr">
        <is>
          <t>Peak Demand ($/kW)</t>
        </is>
      </c>
      <c r="G1" s="6" t="inlineStr">
        <is>
          <t>Off-Peak Demand</t>
        </is>
      </c>
      <c r="H1" s="6" t="inlineStr">
        <is>
          <t>Energy Peak</t>
        </is>
      </c>
      <c r="I1" s="6" t="inlineStr">
        <is>
          <t>Energy Off-Peak</t>
        </is>
      </c>
      <c r="J1" s="6" t="inlineStr">
        <is>
          <t>Fuel Adj</t>
        </is>
      </c>
      <c r="K1" s="6" t="inlineStr">
        <is>
          <t>Blended Rate ($/kWh)</t>
        </is>
      </c>
      <c r="L1" s="6" t="inlineStr">
        <is>
          <t>Annual Cost ($M)</t>
        </is>
      </c>
      <c r="M1" s="6" t="inlineStr">
        <is>
          <t>Protection Rating</t>
        </is>
      </c>
      <c r="N1" s="6" t="inlineStr">
        <is>
          <t>Status</t>
        </is>
      </c>
    </row>
    <row r="2">
      <c r="A2" s="3" t="n">
        <v>1</v>
      </c>
      <c r="B2" s="3">
        <f>'Tariff Database'!B18</f>
        <v/>
      </c>
      <c r="C2" s="3">
        <f>'Tariff Database'!C18</f>
        <v/>
      </c>
      <c r="D2" s="3">
        <f>'Tariff Database'!D18</f>
        <v/>
      </c>
      <c r="E2" s="3">
        <f>'Tariff Database'!E18</f>
        <v/>
      </c>
      <c r="F2" s="3">
        <f>'Tariff Database'!K18</f>
        <v/>
      </c>
      <c r="G2" s="3">
        <f>'Tariff Database'!L18</f>
        <v/>
      </c>
      <c r="H2" s="3">
        <f>'Tariff Database'!M18</f>
        <v/>
      </c>
      <c r="I2" s="3">
        <f>'Tariff Database'!N18</f>
        <v/>
      </c>
      <c r="J2" s="3">
        <f>'Tariff Database'!O18</f>
        <v/>
      </c>
      <c r="K2" s="4">
        <f>'Tariff Database'!Y18</f>
        <v/>
      </c>
      <c r="L2" s="5">
        <f>'Tariff Database'!Z18</f>
        <v/>
      </c>
      <c r="M2" s="3">
        <f>'Tariff Database'!AB18</f>
        <v/>
      </c>
      <c r="N2" s="3">
        <f>'Tariff Database'!I18</f>
        <v/>
      </c>
    </row>
    <row r="3">
      <c r="A3" s="3" t="n">
        <v>2</v>
      </c>
      <c r="B3" s="3">
        <f>'Tariff Database'!B3</f>
        <v/>
      </c>
      <c r="C3" s="3">
        <f>'Tariff Database'!C3</f>
        <v/>
      </c>
      <c r="D3" s="3">
        <f>'Tariff Database'!D3</f>
        <v/>
      </c>
      <c r="E3" s="3">
        <f>'Tariff Database'!E3</f>
        <v/>
      </c>
      <c r="F3" s="3">
        <f>'Tariff Database'!K3</f>
        <v/>
      </c>
      <c r="G3" s="3">
        <f>'Tariff Database'!L3</f>
        <v/>
      </c>
      <c r="H3" s="3">
        <f>'Tariff Database'!M3</f>
        <v/>
      </c>
      <c r="I3" s="3">
        <f>'Tariff Database'!N3</f>
        <v/>
      </c>
      <c r="J3" s="3">
        <f>'Tariff Database'!O3</f>
        <v/>
      </c>
      <c r="K3" s="4">
        <f>'Tariff Database'!Y3</f>
        <v/>
      </c>
      <c r="L3" s="5">
        <f>'Tariff Database'!Z3</f>
        <v/>
      </c>
      <c r="M3" s="3">
        <f>'Tariff Database'!AB3</f>
        <v/>
      </c>
      <c r="N3" s="3">
        <f>'Tariff Database'!I3</f>
        <v/>
      </c>
    </row>
    <row r="4">
      <c r="A4" s="3" t="n">
        <v>3</v>
      </c>
      <c r="B4" s="3">
        <f>'Tariff Database'!B48</f>
        <v/>
      </c>
      <c r="C4" s="3">
        <f>'Tariff Database'!C48</f>
        <v/>
      </c>
      <c r="D4" s="3">
        <f>'Tariff Database'!D48</f>
        <v/>
      </c>
      <c r="E4" s="3">
        <f>'Tariff Database'!E48</f>
        <v/>
      </c>
      <c r="F4" s="3">
        <f>'Tariff Database'!K48</f>
        <v/>
      </c>
      <c r="G4" s="3">
        <f>'Tariff Database'!L48</f>
        <v/>
      </c>
      <c r="H4" s="3">
        <f>'Tariff Database'!M48</f>
        <v/>
      </c>
      <c r="I4" s="3">
        <f>'Tariff Database'!N48</f>
        <v/>
      </c>
      <c r="J4" s="3">
        <f>'Tariff Database'!O48</f>
        <v/>
      </c>
      <c r="K4" s="4">
        <f>'Tariff Database'!Y48</f>
        <v/>
      </c>
      <c r="L4" s="5">
        <f>'Tariff Database'!Z48</f>
        <v/>
      </c>
      <c r="M4" s="3">
        <f>'Tariff Database'!AB48</f>
        <v/>
      </c>
      <c r="N4" s="3">
        <f>'Tariff Database'!I48</f>
        <v/>
      </c>
    </row>
    <row r="5">
      <c r="A5" s="3" t="n">
        <v>4</v>
      </c>
      <c r="B5" s="3">
        <f>'Tariff Database'!B23</f>
        <v/>
      </c>
      <c r="C5" s="3">
        <f>'Tariff Database'!C23</f>
        <v/>
      </c>
      <c r="D5" s="3">
        <f>'Tariff Database'!D23</f>
        <v/>
      </c>
      <c r="E5" s="3">
        <f>'Tariff Database'!E23</f>
        <v/>
      </c>
      <c r="F5" s="3">
        <f>'Tariff Database'!K23</f>
        <v/>
      </c>
      <c r="G5" s="3">
        <f>'Tariff Database'!L23</f>
        <v/>
      </c>
      <c r="H5" s="3">
        <f>'Tariff Database'!M23</f>
        <v/>
      </c>
      <c r="I5" s="3">
        <f>'Tariff Database'!N23</f>
        <v/>
      </c>
      <c r="J5" s="3">
        <f>'Tariff Database'!O23</f>
        <v/>
      </c>
      <c r="K5" s="4">
        <f>'Tariff Database'!Y23</f>
        <v/>
      </c>
      <c r="L5" s="5">
        <f>'Tariff Database'!Z23</f>
        <v/>
      </c>
      <c r="M5" s="3">
        <f>'Tariff Database'!AB23</f>
        <v/>
      </c>
      <c r="N5" s="3">
        <f>'Tariff Database'!I23</f>
        <v/>
      </c>
    </row>
    <row r="6">
      <c r="A6" s="3" t="n">
        <v>5</v>
      </c>
      <c r="B6" s="3">
        <f>'Tariff Database'!B49</f>
        <v/>
      </c>
      <c r="C6" s="3">
        <f>'Tariff Database'!C49</f>
        <v/>
      </c>
      <c r="D6" s="3">
        <f>'Tariff Database'!D49</f>
        <v/>
      </c>
      <c r="E6" s="3">
        <f>'Tariff Database'!E49</f>
        <v/>
      </c>
      <c r="F6" s="3">
        <f>'Tariff Database'!K49</f>
        <v/>
      </c>
      <c r="G6" s="3">
        <f>'Tariff Database'!L49</f>
        <v/>
      </c>
      <c r="H6" s="3">
        <f>'Tariff Database'!M49</f>
        <v/>
      </c>
      <c r="I6" s="3">
        <f>'Tariff Database'!N49</f>
        <v/>
      </c>
      <c r="J6" s="3">
        <f>'Tariff Database'!O49</f>
        <v/>
      </c>
      <c r="K6" s="4">
        <f>'Tariff Database'!Y49</f>
        <v/>
      </c>
      <c r="L6" s="5">
        <f>'Tariff Database'!Z49</f>
        <v/>
      </c>
      <c r="M6" s="3">
        <f>'Tariff Database'!AB49</f>
        <v/>
      </c>
      <c r="N6" s="3">
        <f>'Tariff Database'!I49</f>
        <v/>
      </c>
    </row>
    <row r="7">
      <c r="A7" s="3" t="n">
        <v>6</v>
      </c>
      <c r="B7" s="3">
        <f>'Tariff Database'!B45</f>
        <v/>
      </c>
      <c r="C7" s="3">
        <f>'Tariff Database'!C45</f>
        <v/>
      </c>
      <c r="D7" s="3">
        <f>'Tariff Database'!D45</f>
        <v/>
      </c>
      <c r="E7" s="3">
        <f>'Tariff Database'!E45</f>
        <v/>
      </c>
      <c r="F7" s="3">
        <f>'Tariff Database'!K45</f>
        <v/>
      </c>
      <c r="G7" s="3">
        <f>'Tariff Database'!L45</f>
        <v/>
      </c>
      <c r="H7" s="3">
        <f>'Tariff Database'!M45</f>
        <v/>
      </c>
      <c r="I7" s="3">
        <f>'Tariff Database'!N45</f>
        <v/>
      </c>
      <c r="J7" s="3">
        <f>'Tariff Database'!O45</f>
        <v/>
      </c>
      <c r="K7" s="4">
        <f>'Tariff Database'!Y45</f>
        <v/>
      </c>
      <c r="L7" s="5">
        <f>'Tariff Database'!Z45</f>
        <v/>
      </c>
      <c r="M7" s="3">
        <f>'Tariff Database'!AB45</f>
        <v/>
      </c>
      <c r="N7" s="3">
        <f>'Tariff Database'!I45</f>
        <v/>
      </c>
    </row>
    <row r="8">
      <c r="A8" s="3" t="n">
        <v>7</v>
      </c>
      <c r="B8" s="3">
        <f>'Tariff Database'!B4</f>
        <v/>
      </c>
      <c r="C8" s="3">
        <f>'Tariff Database'!C4</f>
        <v/>
      </c>
      <c r="D8" s="3">
        <f>'Tariff Database'!D4</f>
        <v/>
      </c>
      <c r="E8" s="3">
        <f>'Tariff Database'!E4</f>
        <v/>
      </c>
      <c r="F8" s="3">
        <f>'Tariff Database'!K4</f>
        <v/>
      </c>
      <c r="G8" s="3">
        <f>'Tariff Database'!L4</f>
        <v/>
      </c>
      <c r="H8" s="3">
        <f>'Tariff Database'!M4</f>
        <v/>
      </c>
      <c r="I8" s="3">
        <f>'Tariff Database'!N4</f>
        <v/>
      </c>
      <c r="J8" s="3">
        <f>'Tariff Database'!O4</f>
        <v/>
      </c>
      <c r="K8" s="4">
        <f>'Tariff Database'!Y4</f>
        <v/>
      </c>
      <c r="L8" s="5">
        <f>'Tariff Database'!Z4</f>
        <v/>
      </c>
      <c r="M8" s="3">
        <f>'Tariff Database'!AB4</f>
        <v/>
      </c>
      <c r="N8" s="3">
        <f>'Tariff Database'!I4</f>
        <v/>
      </c>
    </row>
    <row r="9">
      <c r="A9" s="3" t="n">
        <v>8</v>
      </c>
      <c r="B9" s="3">
        <f>'Tariff Database'!B51</f>
        <v/>
      </c>
      <c r="C9" s="3">
        <f>'Tariff Database'!C51</f>
        <v/>
      </c>
      <c r="D9" s="3">
        <f>'Tariff Database'!D51</f>
        <v/>
      </c>
      <c r="E9" s="3">
        <f>'Tariff Database'!E51</f>
        <v/>
      </c>
      <c r="F9" s="3">
        <f>'Tariff Database'!K51</f>
        <v/>
      </c>
      <c r="G9" s="3">
        <f>'Tariff Database'!L51</f>
        <v/>
      </c>
      <c r="H9" s="3">
        <f>'Tariff Database'!M51</f>
        <v/>
      </c>
      <c r="I9" s="3">
        <f>'Tariff Database'!N51</f>
        <v/>
      </c>
      <c r="J9" s="3">
        <f>'Tariff Database'!O51</f>
        <v/>
      </c>
      <c r="K9" s="4">
        <f>'Tariff Database'!Y51</f>
        <v/>
      </c>
      <c r="L9" s="5">
        <f>'Tariff Database'!Z51</f>
        <v/>
      </c>
      <c r="M9" s="3">
        <f>'Tariff Database'!AB51</f>
        <v/>
      </c>
      <c r="N9" s="3">
        <f>'Tariff Database'!I51</f>
        <v/>
      </c>
    </row>
    <row r="10">
      <c r="A10" s="3" t="n">
        <v>9</v>
      </c>
      <c r="B10" s="3">
        <f>'Tariff Database'!B40</f>
        <v/>
      </c>
      <c r="C10" s="3">
        <f>'Tariff Database'!C40</f>
        <v/>
      </c>
      <c r="D10" s="3">
        <f>'Tariff Database'!D40</f>
        <v/>
      </c>
      <c r="E10" s="3">
        <f>'Tariff Database'!E40</f>
        <v/>
      </c>
      <c r="F10" s="3">
        <f>'Tariff Database'!K40</f>
        <v/>
      </c>
      <c r="G10" s="3">
        <f>'Tariff Database'!L40</f>
        <v/>
      </c>
      <c r="H10" s="3">
        <f>'Tariff Database'!M40</f>
        <v/>
      </c>
      <c r="I10" s="3">
        <f>'Tariff Database'!N40</f>
        <v/>
      </c>
      <c r="J10" s="3">
        <f>'Tariff Database'!O40</f>
        <v/>
      </c>
      <c r="K10" s="4">
        <f>'Tariff Database'!Y40</f>
        <v/>
      </c>
      <c r="L10" s="5">
        <f>'Tariff Database'!Z40</f>
        <v/>
      </c>
      <c r="M10" s="3">
        <f>'Tariff Database'!AB40</f>
        <v/>
      </c>
      <c r="N10" s="3">
        <f>'Tariff Database'!I40</f>
        <v/>
      </c>
    </row>
    <row r="11">
      <c r="A11" s="3" t="n">
        <v>10</v>
      </c>
      <c r="B11" s="3">
        <f>'Tariff Database'!B50</f>
        <v/>
      </c>
      <c r="C11" s="3">
        <f>'Tariff Database'!C50</f>
        <v/>
      </c>
      <c r="D11" s="3">
        <f>'Tariff Database'!D50</f>
        <v/>
      </c>
      <c r="E11" s="3">
        <f>'Tariff Database'!E50</f>
        <v/>
      </c>
      <c r="F11" s="3">
        <f>'Tariff Database'!K50</f>
        <v/>
      </c>
      <c r="G11" s="3">
        <f>'Tariff Database'!L50</f>
        <v/>
      </c>
      <c r="H11" s="3">
        <f>'Tariff Database'!M50</f>
        <v/>
      </c>
      <c r="I11" s="3">
        <f>'Tariff Database'!N50</f>
        <v/>
      </c>
      <c r="J11" s="3">
        <f>'Tariff Database'!O50</f>
        <v/>
      </c>
      <c r="K11" s="4">
        <f>'Tariff Database'!Y50</f>
        <v/>
      </c>
      <c r="L11" s="5">
        <f>'Tariff Database'!Z50</f>
        <v/>
      </c>
      <c r="M11" s="3">
        <f>'Tariff Database'!AB50</f>
        <v/>
      </c>
      <c r="N11" s="3">
        <f>'Tariff Database'!I50</f>
        <v/>
      </c>
    </row>
    <row r="12">
      <c r="A12" s="3" t="n">
        <v>11</v>
      </c>
      <c r="B12" s="3">
        <f>'Tariff Database'!B6</f>
        <v/>
      </c>
      <c r="C12" s="3">
        <f>'Tariff Database'!C6</f>
        <v/>
      </c>
      <c r="D12" s="3">
        <f>'Tariff Database'!D6</f>
        <v/>
      </c>
      <c r="E12" s="3">
        <f>'Tariff Database'!E6</f>
        <v/>
      </c>
      <c r="F12" s="3">
        <f>'Tariff Database'!K6</f>
        <v/>
      </c>
      <c r="G12" s="3">
        <f>'Tariff Database'!L6</f>
        <v/>
      </c>
      <c r="H12" s="3">
        <f>'Tariff Database'!M6</f>
        <v/>
      </c>
      <c r="I12" s="3">
        <f>'Tariff Database'!N6</f>
        <v/>
      </c>
      <c r="J12" s="3">
        <f>'Tariff Database'!O6</f>
        <v/>
      </c>
      <c r="K12" s="4">
        <f>'Tariff Database'!Y6</f>
        <v/>
      </c>
      <c r="L12" s="5">
        <f>'Tariff Database'!Z6</f>
        <v/>
      </c>
      <c r="M12" s="3">
        <f>'Tariff Database'!AB6</f>
        <v/>
      </c>
      <c r="N12" s="3">
        <f>'Tariff Database'!I6</f>
        <v/>
      </c>
    </row>
    <row r="13">
      <c r="A13" s="3" t="n">
        <v>12</v>
      </c>
      <c r="B13" s="3">
        <f>'Tariff Database'!B5</f>
        <v/>
      </c>
      <c r="C13" s="3">
        <f>'Tariff Database'!C5</f>
        <v/>
      </c>
      <c r="D13" s="3">
        <f>'Tariff Database'!D5</f>
        <v/>
      </c>
      <c r="E13" s="3">
        <f>'Tariff Database'!E5</f>
        <v/>
      </c>
      <c r="F13" s="3">
        <f>'Tariff Database'!K5</f>
        <v/>
      </c>
      <c r="G13" s="3">
        <f>'Tariff Database'!L5</f>
        <v/>
      </c>
      <c r="H13" s="3">
        <f>'Tariff Database'!M5</f>
        <v/>
      </c>
      <c r="I13" s="3">
        <f>'Tariff Database'!N5</f>
        <v/>
      </c>
      <c r="J13" s="3">
        <f>'Tariff Database'!O5</f>
        <v/>
      </c>
      <c r="K13" s="4">
        <f>'Tariff Database'!Y5</f>
        <v/>
      </c>
      <c r="L13" s="5">
        <f>'Tariff Database'!Z5</f>
        <v/>
      </c>
      <c r="M13" s="3">
        <f>'Tariff Database'!AB5</f>
        <v/>
      </c>
      <c r="N13" s="3">
        <f>'Tariff Database'!I5</f>
        <v/>
      </c>
    </row>
    <row r="14">
      <c r="A14" s="3" t="n">
        <v>13</v>
      </c>
      <c r="B14" s="3">
        <f>'Tariff Database'!B12</f>
        <v/>
      </c>
      <c r="C14" s="3">
        <f>'Tariff Database'!C12</f>
        <v/>
      </c>
      <c r="D14" s="3">
        <f>'Tariff Database'!D12</f>
        <v/>
      </c>
      <c r="E14" s="3">
        <f>'Tariff Database'!E12</f>
        <v/>
      </c>
      <c r="F14" s="3">
        <f>'Tariff Database'!K12</f>
        <v/>
      </c>
      <c r="G14" s="3">
        <f>'Tariff Database'!L12</f>
        <v/>
      </c>
      <c r="H14" s="3">
        <f>'Tariff Database'!M12</f>
        <v/>
      </c>
      <c r="I14" s="3">
        <f>'Tariff Database'!N12</f>
        <v/>
      </c>
      <c r="J14" s="3">
        <f>'Tariff Database'!O12</f>
        <v/>
      </c>
      <c r="K14" s="4">
        <f>'Tariff Database'!Y12</f>
        <v/>
      </c>
      <c r="L14" s="5">
        <f>'Tariff Database'!Z12</f>
        <v/>
      </c>
      <c r="M14" s="3">
        <f>'Tariff Database'!AB12</f>
        <v/>
      </c>
      <c r="N14" s="3">
        <f>'Tariff Database'!I12</f>
        <v/>
      </c>
    </row>
    <row r="15">
      <c r="A15" s="3" t="n">
        <v>14</v>
      </c>
      <c r="B15" s="3">
        <f>'Tariff Database'!B38</f>
        <v/>
      </c>
      <c r="C15" s="3">
        <f>'Tariff Database'!C38</f>
        <v/>
      </c>
      <c r="D15" s="3">
        <f>'Tariff Database'!D38</f>
        <v/>
      </c>
      <c r="E15" s="3">
        <f>'Tariff Database'!E38</f>
        <v/>
      </c>
      <c r="F15" s="3">
        <f>'Tariff Database'!K38</f>
        <v/>
      </c>
      <c r="G15" s="3">
        <f>'Tariff Database'!L38</f>
        <v/>
      </c>
      <c r="H15" s="3">
        <f>'Tariff Database'!M38</f>
        <v/>
      </c>
      <c r="I15" s="3">
        <f>'Tariff Database'!N38</f>
        <v/>
      </c>
      <c r="J15" s="3">
        <f>'Tariff Database'!O38</f>
        <v/>
      </c>
      <c r="K15" s="4">
        <f>'Tariff Database'!Y38</f>
        <v/>
      </c>
      <c r="L15" s="5">
        <f>'Tariff Database'!Z38</f>
        <v/>
      </c>
      <c r="M15" s="3">
        <f>'Tariff Database'!AB38</f>
        <v/>
      </c>
      <c r="N15" s="3">
        <f>'Tariff Database'!I38</f>
        <v/>
      </c>
    </row>
    <row r="16">
      <c r="A16" s="3" t="n">
        <v>15</v>
      </c>
      <c r="B16" s="3">
        <f>'Tariff Database'!B8</f>
        <v/>
      </c>
      <c r="C16" s="3">
        <f>'Tariff Database'!C8</f>
        <v/>
      </c>
      <c r="D16" s="3">
        <f>'Tariff Database'!D8</f>
        <v/>
      </c>
      <c r="E16" s="3">
        <f>'Tariff Database'!E8</f>
        <v/>
      </c>
      <c r="F16" s="3">
        <f>'Tariff Database'!K8</f>
        <v/>
      </c>
      <c r="G16" s="3">
        <f>'Tariff Database'!L8</f>
        <v/>
      </c>
      <c r="H16" s="3">
        <f>'Tariff Database'!M8</f>
        <v/>
      </c>
      <c r="I16" s="3">
        <f>'Tariff Database'!N8</f>
        <v/>
      </c>
      <c r="J16" s="3">
        <f>'Tariff Database'!O8</f>
        <v/>
      </c>
      <c r="K16" s="4">
        <f>'Tariff Database'!Y8</f>
        <v/>
      </c>
      <c r="L16" s="5">
        <f>'Tariff Database'!Z8</f>
        <v/>
      </c>
      <c r="M16" s="3">
        <f>'Tariff Database'!AB8</f>
        <v/>
      </c>
      <c r="N16" s="3">
        <f>'Tariff Database'!I8</f>
        <v/>
      </c>
    </row>
    <row r="17">
      <c r="A17" s="3" t="n">
        <v>16</v>
      </c>
      <c r="B17" s="3">
        <f>'Tariff Database'!B7</f>
        <v/>
      </c>
      <c r="C17" s="3">
        <f>'Tariff Database'!C7</f>
        <v/>
      </c>
      <c r="D17" s="3">
        <f>'Tariff Database'!D7</f>
        <v/>
      </c>
      <c r="E17" s="3">
        <f>'Tariff Database'!E7</f>
        <v/>
      </c>
      <c r="F17" s="3">
        <f>'Tariff Database'!K7</f>
        <v/>
      </c>
      <c r="G17" s="3">
        <f>'Tariff Database'!L7</f>
        <v/>
      </c>
      <c r="H17" s="3">
        <f>'Tariff Database'!M7</f>
        <v/>
      </c>
      <c r="I17" s="3">
        <f>'Tariff Database'!N7</f>
        <v/>
      </c>
      <c r="J17" s="3">
        <f>'Tariff Database'!O7</f>
        <v/>
      </c>
      <c r="K17" s="4">
        <f>'Tariff Database'!Y7</f>
        <v/>
      </c>
      <c r="L17" s="5">
        <f>'Tariff Database'!Z7</f>
        <v/>
      </c>
      <c r="M17" s="3">
        <f>'Tariff Database'!AB7</f>
        <v/>
      </c>
      <c r="N17" s="3">
        <f>'Tariff Database'!I7</f>
        <v/>
      </c>
    </row>
    <row r="18">
      <c r="A18" s="3" t="n">
        <v>17</v>
      </c>
      <c r="B18" s="3">
        <f>'Tariff Database'!B11</f>
        <v/>
      </c>
      <c r="C18" s="3">
        <f>'Tariff Database'!C11</f>
        <v/>
      </c>
      <c r="D18" s="3">
        <f>'Tariff Database'!D11</f>
        <v/>
      </c>
      <c r="E18" s="3">
        <f>'Tariff Database'!E11</f>
        <v/>
      </c>
      <c r="F18" s="3">
        <f>'Tariff Database'!K11</f>
        <v/>
      </c>
      <c r="G18" s="3">
        <f>'Tariff Database'!L11</f>
        <v/>
      </c>
      <c r="H18" s="3">
        <f>'Tariff Database'!M11</f>
        <v/>
      </c>
      <c r="I18" s="3">
        <f>'Tariff Database'!N11</f>
        <v/>
      </c>
      <c r="J18" s="3">
        <f>'Tariff Database'!O11</f>
        <v/>
      </c>
      <c r="K18" s="4">
        <f>'Tariff Database'!Y11</f>
        <v/>
      </c>
      <c r="L18" s="5">
        <f>'Tariff Database'!Z11</f>
        <v/>
      </c>
      <c r="M18" s="3">
        <f>'Tariff Database'!AB11</f>
        <v/>
      </c>
      <c r="N18" s="3">
        <f>'Tariff Database'!I11</f>
        <v/>
      </c>
    </row>
    <row r="19">
      <c r="A19" s="3" t="n">
        <v>18</v>
      </c>
      <c r="B19" s="3">
        <f>'Tariff Database'!B37</f>
        <v/>
      </c>
      <c r="C19" s="3">
        <f>'Tariff Database'!C37</f>
        <v/>
      </c>
      <c r="D19" s="3">
        <f>'Tariff Database'!D37</f>
        <v/>
      </c>
      <c r="E19" s="3">
        <f>'Tariff Database'!E37</f>
        <v/>
      </c>
      <c r="F19" s="3">
        <f>'Tariff Database'!K37</f>
        <v/>
      </c>
      <c r="G19" s="3">
        <f>'Tariff Database'!L37</f>
        <v/>
      </c>
      <c r="H19" s="3">
        <f>'Tariff Database'!M37</f>
        <v/>
      </c>
      <c r="I19" s="3">
        <f>'Tariff Database'!N37</f>
        <v/>
      </c>
      <c r="J19" s="3">
        <f>'Tariff Database'!O37</f>
        <v/>
      </c>
      <c r="K19" s="4">
        <f>'Tariff Database'!Y37</f>
        <v/>
      </c>
      <c r="L19" s="5">
        <f>'Tariff Database'!Z37</f>
        <v/>
      </c>
      <c r="M19" s="3">
        <f>'Tariff Database'!AB37</f>
        <v/>
      </c>
      <c r="N19" s="3">
        <f>'Tariff Database'!I37</f>
        <v/>
      </c>
    </row>
    <row r="20">
      <c r="A20" s="3" t="n">
        <v>19</v>
      </c>
      <c r="B20" s="3">
        <f>'Tariff Database'!B47</f>
        <v/>
      </c>
      <c r="C20" s="3">
        <f>'Tariff Database'!C47</f>
        <v/>
      </c>
      <c r="D20" s="3">
        <f>'Tariff Database'!D47</f>
        <v/>
      </c>
      <c r="E20" s="3">
        <f>'Tariff Database'!E47</f>
        <v/>
      </c>
      <c r="F20" s="3">
        <f>'Tariff Database'!K47</f>
        <v/>
      </c>
      <c r="G20" s="3">
        <f>'Tariff Database'!L47</f>
        <v/>
      </c>
      <c r="H20" s="3">
        <f>'Tariff Database'!M47</f>
        <v/>
      </c>
      <c r="I20" s="3">
        <f>'Tariff Database'!N47</f>
        <v/>
      </c>
      <c r="J20" s="3">
        <f>'Tariff Database'!O47</f>
        <v/>
      </c>
      <c r="K20" s="4">
        <f>'Tariff Database'!Y47</f>
        <v/>
      </c>
      <c r="L20" s="5">
        <f>'Tariff Database'!Z47</f>
        <v/>
      </c>
      <c r="M20" s="3">
        <f>'Tariff Database'!AB47</f>
        <v/>
      </c>
      <c r="N20" s="3">
        <f>'Tariff Database'!I47</f>
        <v/>
      </c>
    </row>
    <row r="21">
      <c r="A21" s="3" t="n">
        <v>20</v>
      </c>
      <c r="B21" s="3">
        <f>'Tariff Database'!B22</f>
        <v/>
      </c>
      <c r="C21" s="3">
        <f>'Tariff Database'!C22</f>
        <v/>
      </c>
      <c r="D21" s="3">
        <f>'Tariff Database'!D22</f>
        <v/>
      </c>
      <c r="E21" s="3">
        <f>'Tariff Database'!E22</f>
        <v/>
      </c>
      <c r="F21" s="3">
        <f>'Tariff Database'!K22</f>
        <v/>
      </c>
      <c r="G21" s="3">
        <f>'Tariff Database'!L22</f>
        <v/>
      </c>
      <c r="H21" s="3">
        <f>'Tariff Database'!M22</f>
        <v/>
      </c>
      <c r="I21" s="3">
        <f>'Tariff Database'!N22</f>
        <v/>
      </c>
      <c r="J21" s="3">
        <f>'Tariff Database'!O22</f>
        <v/>
      </c>
      <c r="K21" s="4">
        <f>'Tariff Database'!Y22</f>
        <v/>
      </c>
      <c r="L21" s="5">
        <f>'Tariff Database'!Z22</f>
        <v/>
      </c>
      <c r="M21" s="3">
        <f>'Tariff Database'!AB22</f>
        <v/>
      </c>
      <c r="N21" s="3">
        <f>'Tariff Database'!I22</f>
        <v/>
      </c>
    </row>
    <row r="22">
      <c r="A22" s="3" t="n">
        <v>21</v>
      </c>
      <c r="B22" s="3">
        <f>'Tariff Database'!B25</f>
        <v/>
      </c>
      <c r="C22" s="3">
        <f>'Tariff Database'!C25</f>
        <v/>
      </c>
      <c r="D22" s="3">
        <f>'Tariff Database'!D25</f>
        <v/>
      </c>
      <c r="E22" s="3">
        <f>'Tariff Database'!E25</f>
        <v/>
      </c>
      <c r="F22" s="3">
        <f>'Tariff Database'!K25</f>
        <v/>
      </c>
      <c r="G22" s="3">
        <f>'Tariff Database'!L25</f>
        <v/>
      </c>
      <c r="H22" s="3">
        <f>'Tariff Database'!M25</f>
        <v/>
      </c>
      <c r="I22" s="3">
        <f>'Tariff Database'!N25</f>
        <v/>
      </c>
      <c r="J22" s="3">
        <f>'Tariff Database'!O25</f>
        <v/>
      </c>
      <c r="K22" s="4">
        <f>'Tariff Database'!Y25</f>
        <v/>
      </c>
      <c r="L22" s="5">
        <f>'Tariff Database'!Z25</f>
        <v/>
      </c>
      <c r="M22" s="3">
        <f>'Tariff Database'!AB25</f>
        <v/>
      </c>
      <c r="N22" s="3">
        <f>'Tariff Database'!I25</f>
        <v/>
      </c>
    </row>
    <row r="23">
      <c r="A23" s="3" t="n">
        <v>22</v>
      </c>
      <c r="B23" s="3">
        <f>'Tariff Database'!B20</f>
        <v/>
      </c>
      <c r="C23" s="3">
        <f>'Tariff Database'!C20</f>
        <v/>
      </c>
      <c r="D23" s="3">
        <f>'Tariff Database'!D20</f>
        <v/>
      </c>
      <c r="E23" s="3">
        <f>'Tariff Database'!E20</f>
        <v/>
      </c>
      <c r="F23" s="3">
        <f>'Tariff Database'!K20</f>
        <v/>
      </c>
      <c r="G23" s="3">
        <f>'Tariff Database'!L20</f>
        <v/>
      </c>
      <c r="H23" s="3">
        <f>'Tariff Database'!M20</f>
        <v/>
      </c>
      <c r="I23" s="3">
        <f>'Tariff Database'!N20</f>
        <v/>
      </c>
      <c r="J23" s="3">
        <f>'Tariff Database'!O20</f>
        <v/>
      </c>
      <c r="K23" s="4">
        <f>'Tariff Database'!Y20</f>
        <v/>
      </c>
      <c r="L23" s="5">
        <f>'Tariff Database'!Z20</f>
        <v/>
      </c>
      <c r="M23" s="3">
        <f>'Tariff Database'!AB20</f>
        <v/>
      </c>
      <c r="N23" s="3">
        <f>'Tariff Database'!I20</f>
        <v/>
      </c>
    </row>
    <row r="24">
      <c r="A24" s="3" t="n">
        <v>23</v>
      </c>
      <c r="B24" s="3">
        <f>'Tariff Database'!B46</f>
        <v/>
      </c>
      <c r="C24" s="3">
        <f>'Tariff Database'!C46</f>
        <v/>
      </c>
      <c r="D24" s="3">
        <f>'Tariff Database'!D46</f>
        <v/>
      </c>
      <c r="E24" s="3">
        <f>'Tariff Database'!E46</f>
        <v/>
      </c>
      <c r="F24" s="3">
        <f>'Tariff Database'!K46</f>
        <v/>
      </c>
      <c r="G24" s="3">
        <f>'Tariff Database'!L46</f>
        <v/>
      </c>
      <c r="H24" s="3">
        <f>'Tariff Database'!M46</f>
        <v/>
      </c>
      <c r="I24" s="3">
        <f>'Tariff Database'!N46</f>
        <v/>
      </c>
      <c r="J24" s="3">
        <f>'Tariff Database'!O46</f>
        <v/>
      </c>
      <c r="K24" s="4">
        <f>'Tariff Database'!Y46</f>
        <v/>
      </c>
      <c r="L24" s="5">
        <f>'Tariff Database'!Z46</f>
        <v/>
      </c>
      <c r="M24" s="3">
        <f>'Tariff Database'!AB46</f>
        <v/>
      </c>
      <c r="N24" s="3">
        <f>'Tariff Database'!I46</f>
        <v/>
      </c>
    </row>
    <row r="25">
      <c r="A25" s="3" t="n">
        <v>24</v>
      </c>
      <c r="B25" s="3">
        <f>'Tariff Database'!B27</f>
        <v/>
      </c>
      <c r="C25" s="3">
        <f>'Tariff Database'!C27</f>
        <v/>
      </c>
      <c r="D25" s="3">
        <f>'Tariff Database'!D27</f>
        <v/>
      </c>
      <c r="E25" s="3">
        <f>'Tariff Database'!E27</f>
        <v/>
      </c>
      <c r="F25" s="3">
        <f>'Tariff Database'!K27</f>
        <v/>
      </c>
      <c r="G25" s="3">
        <f>'Tariff Database'!L27</f>
        <v/>
      </c>
      <c r="H25" s="3">
        <f>'Tariff Database'!M27</f>
        <v/>
      </c>
      <c r="I25" s="3">
        <f>'Tariff Database'!N27</f>
        <v/>
      </c>
      <c r="J25" s="3">
        <f>'Tariff Database'!O27</f>
        <v/>
      </c>
      <c r="K25" s="4">
        <f>'Tariff Database'!Y27</f>
        <v/>
      </c>
      <c r="L25" s="5">
        <f>'Tariff Database'!Z27</f>
        <v/>
      </c>
      <c r="M25" s="3">
        <f>'Tariff Database'!AB27</f>
        <v/>
      </c>
      <c r="N25" s="3">
        <f>'Tariff Database'!I27</f>
        <v/>
      </c>
    </row>
    <row r="26">
      <c r="A26" s="3" t="n">
        <v>25</v>
      </c>
      <c r="B26" s="3">
        <f>'Tariff Database'!B33</f>
        <v/>
      </c>
      <c r="C26" s="3">
        <f>'Tariff Database'!C33</f>
        <v/>
      </c>
      <c r="D26" s="3">
        <f>'Tariff Database'!D33</f>
        <v/>
      </c>
      <c r="E26" s="3">
        <f>'Tariff Database'!E33</f>
        <v/>
      </c>
      <c r="F26" s="3">
        <f>'Tariff Database'!K33</f>
        <v/>
      </c>
      <c r="G26" s="3">
        <f>'Tariff Database'!L33</f>
        <v/>
      </c>
      <c r="H26" s="3">
        <f>'Tariff Database'!M33</f>
        <v/>
      </c>
      <c r="I26" s="3">
        <f>'Tariff Database'!N33</f>
        <v/>
      </c>
      <c r="J26" s="3">
        <f>'Tariff Database'!O33</f>
        <v/>
      </c>
      <c r="K26" s="4">
        <f>'Tariff Database'!Y33</f>
        <v/>
      </c>
      <c r="L26" s="5">
        <f>'Tariff Database'!Z33</f>
        <v/>
      </c>
      <c r="M26" s="3">
        <f>'Tariff Database'!AB33</f>
        <v/>
      </c>
      <c r="N26" s="3">
        <f>'Tariff Database'!I33</f>
        <v/>
      </c>
    </row>
    <row r="27">
      <c r="A27" s="3" t="n">
        <v>26</v>
      </c>
      <c r="B27" s="3">
        <f>'Tariff Database'!B39</f>
        <v/>
      </c>
      <c r="C27" s="3">
        <f>'Tariff Database'!C39</f>
        <v/>
      </c>
      <c r="D27" s="3">
        <f>'Tariff Database'!D39</f>
        <v/>
      </c>
      <c r="E27" s="3">
        <f>'Tariff Database'!E39</f>
        <v/>
      </c>
      <c r="F27" s="3">
        <f>'Tariff Database'!K39</f>
        <v/>
      </c>
      <c r="G27" s="3">
        <f>'Tariff Database'!L39</f>
        <v/>
      </c>
      <c r="H27" s="3">
        <f>'Tariff Database'!M39</f>
        <v/>
      </c>
      <c r="I27" s="3">
        <f>'Tariff Database'!N39</f>
        <v/>
      </c>
      <c r="J27" s="3">
        <f>'Tariff Database'!O39</f>
        <v/>
      </c>
      <c r="K27" s="4">
        <f>'Tariff Database'!Y39</f>
        <v/>
      </c>
      <c r="L27" s="5">
        <f>'Tariff Database'!Z39</f>
        <v/>
      </c>
      <c r="M27" s="3">
        <f>'Tariff Database'!AB39</f>
        <v/>
      </c>
      <c r="N27" s="3">
        <f>'Tariff Database'!I39</f>
        <v/>
      </c>
    </row>
    <row r="28">
      <c r="A28" s="3" t="n">
        <v>27</v>
      </c>
      <c r="B28" s="3">
        <f>'Tariff Database'!B42</f>
        <v/>
      </c>
      <c r="C28" s="3">
        <f>'Tariff Database'!C42</f>
        <v/>
      </c>
      <c r="D28" s="3">
        <f>'Tariff Database'!D42</f>
        <v/>
      </c>
      <c r="E28" s="3">
        <f>'Tariff Database'!E42</f>
        <v/>
      </c>
      <c r="F28" s="3">
        <f>'Tariff Database'!K42</f>
        <v/>
      </c>
      <c r="G28" s="3">
        <f>'Tariff Database'!L42</f>
        <v/>
      </c>
      <c r="H28" s="3">
        <f>'Tariff Database'!M42</f>
        <v/>
      </c>
      <c r="I28" s="3">
        <f>'Tariff Database'!N42</f>
        <v/>
      </c>
      <c r="J28" s="3">
        <f>'Tariff Database'!O42</f>
        <v/>
      </c>
      <c r="K28" s="4">
        <f>'Tariff Database'!Y42</f>
        <v/>
      </c>
      <c r="L28" s="5">
        <f>'Tariff Database'!Z42</f>
        <v/>
      </c>
      <c r="M28" s="3">
        <f>'Tariff Database'!AB42</f>
        <v/>
      </c>
      <c r="N28" s="3">
        <f>'Tariff Database'!I42</f>
        <v/>
      </c>
    </row>
    <row r="29">
      <c r="A29" s="3" t="n">
        <v>28</v>
      </c>
      <c r="B29" s="3">
        <f>'Tariff Database'!B15</f>
        <v/>
      </c>
      <c r="C29" s="3">
        <f>'Tariff Database'!C15</f>
        <v/>
      </c>
      <c r="D29" s="3">
        <f>'Tariff Database'!D15</f>
        <v/>
      </c>
      <c r="E29" s="3">
        <f>'Tariff Database'!E15</f>
        <v/>
      </c>
      <c r="F29" s="3">
        <f>'Tariff Database'!K15</f>
        <v/>
      </c>
      <c r="G29" s="3">
        <f>'Tariff Database'!L15</f>
        <v/>
      </c>
      <c r="H29" s="3">
        <f>'Tariff Database'!M15</f>
        <v/>
      </c>
      <c r="I29" s="3">
        <f>'Tariff Database'!N15</f>
        <v/>
      </c>
      <c r="J29" s="3">
        <f>'Tariff Database'!O15</f>
        <v/>
      </c>
      <c r="K29" s="4">
        <f>'Tariff Database'!Y15</f>
        <v/>
      </c>
      <c r="L29" s="5">
        <f>'Tariff Database'!Z15</f>
        <v/>
      </c>
      <c r="M29" s="3">
        <f>'Tariff Database'!AB15</f>
        <v/>
      </c>
      <c r="N29" s="3">
        <f>'Tariff Database'!I15</f>
        <v/>
      </c>
    </row>
    <row r="30">
      <c r="A30" s="3" t="n">
        <v>29</v>
      </c>
      <c r="B30" s="3">
        <f>'Tariff Database'!B9</f>
        <v/>
      </c>
      <c r="C30" s="3">
        <f>'Tariff Database'!C9</f>
        <v/>
      </c>
      <c r="D30" s="3">
        <f>'Tariff Database'!D9</f>
        <v/>
      </c>
      <c r="E30" s="3">
        <f>'Tariff Database'!E9</f>
        <v/>
      </c>
      <c r="F30" s="3">
        <f>'Tariff Database'!K9</f>
        <v/>
      </c>
      <c r="G30" s="3">
        <f>'Tariff Database'!L9</f>
        <v/>
      </c>
      <c r="H30" s="3">
        <f>'Tariff Database'!M9</f>
        <v/>
      </c>
      <c r="I30" s="3">
        <f>'Tariff Database'!N9</f>
        <v/>
      </c>
      <c r="J30" s="3">
        <f>'Tariff Database'!O9</f>
        <v/>
      </c>
      <c r="K30" s="4">
        <f>'Tariff Database'!Y9</f>
        <v/>
      </c>
      <c r="L30" s="5">
        <f>'Tariff Database'!Z9</f>
        <v/>
      </c>
      <c r="M30" s="3">
        <f>'Tariff Database'!AB9</f>
        <v/>
      </c>
      <c r="N30" s="3">
        <f>'Tariff Database'!I9</f>
        <v/>
      </c>
    </row>
    <row r="31">
      <c r="A31" s="3" t="n">
        <v>30</v>
      </c>
      <c r="B31" s="3">
        <f>'Tariff Database'!B35</f>
        <v/>
      </c>
      <c r="C31" s="3">
        <f>'Tariff Database'!C35</f>
        <v/>
      </c>
      <c r="D31" s="3">
        <f>'Tariff Database'!D35</f>
        <v/>
      </c>
      <c r="E31" s="3">
        <f>'Tariff Database'!E35</f>
        <v/>
      </c>
      <c r="F31" s="3">
        <f>'Tariff Database'!K35</f>
        <v/>
      </c>
      <c r="G31" s="3">
        <f>'Tariff Database'!L35</f>
        <v/>
      </c>
      <c r="H31" s="3">
        <f>'Tariff Database'!M35</f>
        <v/>
      </c>
      <c r="I31" s="3">
        <f>'Tariff Database'!N35</f>
        <v/>
      </c>
      <c r="J31" s="3">
        <f>'Tariff Database'!O35</f>
        <v/>
      </c>
      <c r="K31" s="4">
        <f>'Tariff Database'!Y35</f>
        <v/>
      </c>
      <c r="L31" s="5">
        <f>'Tariff Database'!Z35</f>
        <v/>
      </c>
      <c r="M31" s="3">
        <f>'Tariff Database'!AB35</f>
        <v/>
      </c>
      <c r="N31" s="3">
        <f>'Tariff Database'!I35</f>
        <v/>
      </c>
    </row>
    <row r="32">
      <c r="A32" s="3" t="n">
        <v>31</v>
      </c>
      <c r="B32" s="3">
        <f>'Tariff Database'!B58</f>
        <v/>
      </c>
      <c r="C32" s="3">
        <f>'Tariff Database'!C58</f>
        <v/>
      </c>
      <c r="D32" s="3">
        <f>'Tariff Database'!D58</f>
        <v/>
      </c>
      <c r="E32" s="3">
        <f>'Tariff Database'!E58</f>
        <v/>
      </c>
      <c r="F32" s="3">
        <f>'Tariff Database'!K58</f>
        <v/>
      </c>
      <c r="G32" s="3">
        <f>'Tariff Database'!L58</f>
        <v/>
      </c>
      <c r="H32" s="3">
        <f>'Tariff Database'!M58</f>
        <v/>
      </c>
      <c r="I32" s="3">
        <f>'Tariff Database'!N58</f>
        <v/>
      </c>
      <c r="J32" s="3">
        <f>'Tariff Database'!O58</f>
        <v/>
      </c>
      <c r="K32" s="4">
        <f>'Tariff Database'!Y58</f>
        <v/>
      </c>
      <c r="L32" s="5">
        <f>'Tariff Database'!Z58</f>
        <v/>
      </c>
      <c r="M32" s="3">
        <f>'Tariff Database'!AB58</f>
        <v/>
      </c>
      <c r="N32" s="3">
        <f>'Tariff Database'!I58</f>
        <v/>
      </c>
    </row>
    <row r="33">
      <c r="A33" s="3" t="n">
        <v>32</v>
      </c>
      <c r="B33" s="3">
        <f>'Tariff Database'!B56</f>
        <v/>
      </c>
      <c r="C33" s="3">
        <f>'Tariff Database'!C56</f>
        <v/>
      </c>
      <c r="D33" s="3">
        <f>'Tariff Database'!D56</f>
        <v/>
      </c>
      <c r="E33" s="3">
        <f>'Tariff Database'!E56</f>
        <v/>
      </c>
      <c r="F33" s="3">
        <f>'Tariff Database'!K56</f>
        <v/>
      </c>
      <c r="G33" s="3">
        <f>'Tariff Database'!L56</f>
        <v/>
      </c>
      <c r="H33" s="3">
        <f>'Tariff Database'!M56</f>
        <v/>
      </c>
      <c r="I33" s="3">
        <f>'Tariff Database'!N56</f>
        <v/>
      </c>
      <c r="J33" s="3">
        <f>'Tariff Database'!O56</f>
        <v/>
      </c>
      <c r="K33" s="4">
        <f>'Tariff Database'!Y56</f>
        <v/>
      </c>
      <c r="L33" s="5">
        <f>'Tariff Database'!Z56</f>
        <v/>
      </c>
      <c r="M33" s="3">
        <f>'Tariff Database'!AB56</f>
        <v/>
      </c>
      <c r="N33" s="3">
        <f>'Tariff Database'!I56</f>
        <v/>
      </c>
    </row>
    <row r="34">
      <c r="A34" s="3" t="n">
        <v>33</v>
      </c>
      <c r="B34" s="3">
        <f>'Tariff Database'!B13</f>
        <v/>
      </c>
      <c r="C34" s="3">
        <f>'Tariff Database'!C13</f>
        <v/>
      </c>
      <c r="D34" s="3">
        <f>'Tariff Database'!D13</f>
        <v/>
      </c>
      <c r="E34" s="3">
        <f>'Tariff Database'!E13</f>
        <v/>
      </c>
      <c r="F34" s="3">
        <f>'Tariff Database'!K13</f>
        <v/>
      </c>
      <c r="G34" s="3">
        <f>'Tariff Database'!L13</f>
        <v/>
      </c>
      <c r="H34" s="3">
        <f>'Tariff Database'!M13</f>
        <v/>
      </c>
      <c r="I34" s="3">
        <f>'Tariff Database'!N13</f>
        <v/>
      </c>
      <c r="J34" s="3">
        <f>'Tariff Database'!O13</f>
        <v/>
      </c>
      <c r="K34" s="4">
        <f>'Tariff Database'!Y13</f>
        <v/>
      </c>
      <c r="L34" s="5">
        <f>'Tariff Database'!Z13</f>
        <v/>
      </c>
      <c r="M34" s="3">
        <f>'Tariff Database'!AB13</f>
        <v/>
      </c>
      <c r="N34" s="3">
        <f>'Tariff Database'!I13</f>
        <v/>
      </c>
    </row>
    <row r="35">
      <c r="A35" s="3" t="n">
        <v>34</v>
      </c>
      <c r="B35" s="3">
        <f>'Tariff Database'!B53</f>
        <v/>
      </c>
      <c r="C35" s="3">
        <f>'Tariff Database'!C53</f>
        <v/>
      </c>
      <c r="D35" s="3">
        <f>'Tariff Database'!D53</f>
        <v/>
      </c>
      <c r="E35" s="3">
        <f>'Tariff Database'!E53</f>
        <v/>
      </c>
      <c r="F35" s="3">
        <f>'Tariff Database'!K53</f>
        <v/>
      </c>
      <c r="G35" s="3">
        <f>'Tariff Database'!L53</f>
        <v/>
      </c>
      <c r="H35" s="3">
        <f>'Tariff Database'!M53</f>
        <v/>
      </c>
      <c r="I35" s="3">
        <f>'Tariff Database'!N53</f>
        <v/>
      </c>
      <c r="J35" s="3">
        <f>'Tariff Database'!O53</f>
        <v/>
      </c>
      <c r="K35" s="4">
        <f>'Tariff Database'!Y53</f>
        <v/>
      </c>
      <c r="L35" s="5">
        <f>'Tariff Database'!Z53</f>
        <v/>
      </c>
      <c r="M35" s="3">
        <f>'Tariff Database'!AB53</f>
        <v/>
      </c>
      <c r="N35" s="3">
        <f>'Tariff Database'!I53</f>
        <v/>
      </c>
    </row>
    <row r="36">
      <c r="A36" s="3" t="n">
        <v>35</v>
      </c>
      <c r="B36" s="3">
        <f>'Tariff Database'!B34</f>
        <v/>
      </c>
      <c r="C36" s="3">
        <f>'Tariff Database'!C34</f>
        <v/>
      </c>
      <c r="D36" s="3">
        <f>'Tariff Database'!D34</f>
        <v/>
      </c>
      <c r="E36" s="3">
        <f>'Tariff Database'!E34</f>
        <v/>
      </c>
      <c r="F36" s="3">
        <f>'Tariff Database'!K34</f>
        <v/>
      </c>
      <c r="G36" s="3">
        <f>'Tariff Database'!L34</f>
        <v/>
      </c>
      <c r="H36" s="3">
        <f>'Tariff Database'!M34</f>
        <v/>
      </c>
      <c r="I36" s="3">
        <f>'Tariff Database'!N34</f>
        <v/>
      </c>
      <c r="J36" s="3">
        <f>'Tariff Database'!O34</f>
        <v/>
      </c>
      <c r="K36" s="4">
        <f>'Tariff Database'!Y34</f>
        <v/>
      </c>
      <c r="L36" s="5">
        <f>'Tariff Database'!Z34</f>
        <v/>
      </c>
      <c r="M36" s="3">
        <f>'Tariff Database'!AB34</f>
        <v/>
      </c>
      <c r="N36" s="3">
        <f>'Tariff Database'!I34</f>
        <v/>
      </c>
    </row>
    <row r="37">
      <c r="A37" s="3" t="n">
        <v>36</v>
      </c>
      <c r="B37" s="3">
        <f>'Tariff Database'!B16</f>
        <v/>
      </c>
      <c r="C37" s="3">
        <f>'Tariff Database'!C16</f>
        <v/>
      </c>
      <c r="D37" s="3">
        <f>'Tariff Database'!D16</f>
        <v/>
      </c>
      <c r="E37" s="3">
        <f>'Tariff Database'!E16</f>
        <v/>
      </c>
      <c r="F37" s="3">
        <f>'Tariff Database'!K16</f>
        <v/>
      </c>
      <c r="G37" s="3">
        <f>'Tariff Database'!L16</f>
        <v/>
      </c>
      <c r="H37" s="3">
        <f>'Tariff Database'!M16</f>
        <v/>
      </c>
      <c r="I37" s="3">
        <f>'Tariff Database'!N16</f>
        <v/>
      </c>
      <c r="J37" s="3">
        <f>'Tariff Database'!O16</f>
        <v/>
      </c>
      <c r="K37" s="4">
        <f>'Tariff Database'!Y16</f>
        <v/>
      </c>
      <c r="L37" s="5">
        <f>'Tariff Database'!Z16</f>
        <v/>
      </c>
      <c r="M37" s="3">
        <f>'Tariff Database'!AB16</f>
        <v/>
      </c>
      <c r="N37" s="3">
        <f>'Tariff Database'!I16</f>
        <v/>
      </c>
    </row>
    <row r="38">
      <c r="A38" s="3" t="n">
        <v>37</v>
      </c>
      <c r="B38" s="3">
        <f>'Tariff Database'!B65</f>
        <v/>
      </c>
      <c r="C38" s="3">
        <f>'Tariff Database'!C65</f>
        <v/>
      </c>
      <c r="D38" s="3">
        <f>'Tariff Database'!D65</f>
        <v/>
      </c>
      <c r="E38" s="3">
        <f>'Tariff Database'!E65</f>
        <v/>
      </c>
      <c r="F38" s="3">
        <f>'Tariff Database'!K65</f>
        <v/>
      </c>
      <c r="G38" s="3">
        <f>'Tariff Database'!L65</f>
        <v/>
      </c>
      <c r="H38" s="3">
        <f>'Tariff Database'!M65</f>
        <v/>
      </c>
      <c r="I38" s="3">
        <f>'Tariff Database'!N65</f>
        <v/>
      </c>
      <c r="J38" s="3">
        <f>'Tariff Database'!O65</f>
        <v/>
      </c>
      <c r="K38" s="4">
        <f>'Tariff Database'!Y65</f>
        <v/>
      </c>
      <c r="L38" s="5">
        <f>'Tariff Database'!Z65</f>
        <v/>
      </c>
      <c r="M38" s="3">
        <f>'Tariff Database'!AB65</f>
        <v/>
      </c>
      <c r="N38" s="3">
        <f>'Tariff Database'!I65</f>
        <v/>
      </c>
    </row>
    <row r="39">
      <c r="A39" s="3" t="n">
        <v>38</v>
      </c>
      <c r="B39" s="3">
        <f>'Tariff Database'!B67</f>
        <v/>
      </c>
      <c r="C39" s="3">
        <f>'Tariff Database'!C67</f>
        <v/>
      </c>
      <c r="D39" s="3">
        <f>'Tariff Database'!D67</f>
        <v/>
      </c>
      <c r="E39" s="3">
        <f>'Tariff Database'!E67</f>
        <v/>
      </c>
      <c r="F39" s="3">
        <f>'Tariff Database'!K67</f>
        <v/>
      </c>
      <c r="G39" s="3">
        <f>'Tariff Database'!L67</f>
        <v/>
      </c>
      <c r="H39" s="3">
        <f>'Tariff Database'!M67</f>
        <v/>
      </c>
      <c r="I39" s="3">
        <f>'Tariff Database'!N67</f>
        <v/>
      </c>
      <c r="J39" s="3">
        <f>'Tariff Database'!O67</f>
        <v/>
      </c>
      <c r="K39" s="4">
        <f>'Tariff Database'!Y67</f>
        <v/>
      </c>
      <c r="L39" s="5">
        <f>'Tariff Database'!Z67</f>
        <v/>
      </c>
      <c r="M39" s="3">
        <f>'Tariff Database'!AB67</f>
        <v/>
      </c>
      <c r="N39" s="3">
        <f>'Tariff Database'!I67</f>
        <v/>
      </c>
    </row>
    <row r="40">
      <c r="A40" s="3" t="n">
        <v>39</v>
      </c>
      <c r="B40" s="3">
        <f>'Tariff Database'!B21</f>
        <v/>
      </c>
      <c r="C40" s="3">
        <f>'Tariff Database'!C21</f>
        <v/>
      </c>
      <c r="D40" s="3">
        <f>'Tariff Database'!D21</f>
        <v/>
      </c>
      <c r="E40" s="3">
        <f>'Tariff Database'!E21</f>
        <v/>
      </c>
      <c r="F40" s="3">
        <f>'Tariff Database'!K21</f>
        <v/>
      </c>
      <c r="G40" s="3">
        <f>'Tariff Database'!L21</f>
        <v/>
      </c>
      <c r="H40" s="3">
        <f>'Tariff Database'!M21</f>
        <v/>
      </c>
      <c r="I40" s="3">
        <f>'Tariff Database'!N21</f>
        <v/>
      </c>
      <c r="J40" s="3">
        <f>'Tariff Database'!O21</f>
        <v/>
      </c>
      <c r="K40" s="4">
        <f>'Tariff Database'!Y21</f>
        <v/>
      </c>
      <c r="L40" s="5">
        <f>'Tariff Database'!Z21</f>
        <v/>
      </c>
      <c r="M40" s="3">
        <f>'Tariff Database'!AB21</f>
        <v/>
      </c>
      <c r="N40" s="3">
        <f>'Tariff Database'!I21</f>
        <v/>
      </c>
    </row>
    <row r="41">
      <c r="A41" s="3" t="n">
        <v>40</v>
      </c>
      <c r="B41" s="3">
        <f>'Tariff Database'!B31</f>
        <v/>
      </c>
      <c r="C41" s="3">
        <f>'Tariff Database'!C31</f>
        <v/>
      </c>
      <c r="D41" s="3">
        <f>'Tariff Database'!D31</f>
        <v/>
      </c>
      <c r="E41" s="3">
        <f>'Tariff Database'!E31</f>
        <v/>
      </c>
      <c r="F41" s="3">
        <f>'Tariff Database'!K31</f>
        <v/>
      </c>
      <c r="G41" s="3">
        <f>'Tariff Database'!L31</f>
        <v/>
      </c>
      <c r="H41" s="3">
        <f>'Tariff Database'!M31</f>
        <v/>
      </c>
      <c r="I41" s="3">
        <f>'Tariff Database'!N31</f>
        <v/>
      </c>
      <c r="J41" s="3">
        <f>'Tariff Database'!O31</f>
        <v/>
      </c>
      <c r="K41" s="4">
        <f>'Tariff Database'!Y31</f>
        <v/>
      </c>
      <c r="L41" s="5">
        <f>'Tariff Database'!Z31</f>
        <v/>
      </c>
      <c r="M41" s="3">
        <f>'Tariff Database'!AB31</f>
        <v/>
      </c>
      <c r="N41" s="3">
        <f>'Tariff Database'!I31</f>
        <v/>
      </c>
    </row>
    <row r="42">
      <c r="A42" s="3" t="n">
        <v>41</v>
      </c>
      <c r="B42" s="3">
        <f>'Tariff Database'!B17</f>
        <v/>
      </c>
      <c r="C42" s="3">
        <f>'Tariff Database'!C17</f>
        <v/>
      </c>
      <c r="D42" s="3">
        <f>'Tariff Database'!D17</f>
        <v/>
      </c>
      <c r="E42" s="3">
        <f>'Tariff Database'!E17</f>
        <v/>
      </c>
      <c r="F42" s="3">
        <f>'Tariff Database'!K17</f>
        <v/>
      </c>
      <c r="G42" s="3">
        <f>'Tariff Database'!L17</f>
        <v/>
      </c>
      <c r="H42" s="3">
        <f>'Tariff Database'!M17</f>
        <v/>
      </c>
      <c r="I42" s="3">
        <f>'Tariff Database'!N17</f>
        <v/>
      </c>
      <c r="J42" s="3">
        <f>'Tariff Database'!O17</f>
        <v/>
      </c>
      <c r="K42" s="4">
        <f>'Tariff Database'!Y17</f>
        <v/>
      </c>
      <c r="L42" s="5">
        <f>'Tariff Database'!Z17</f>
        <v/>
      </c>
      <c r="M42" s="3">
        <f>'Tariff Database'!AB17</f>
        <v/>
      </c>
      <c r="N42" s="3">
        <f>'Tariff Database'!I17</f>
        <v/>
      </c>
    </row>
    <row r="43">
      <c r="A43" s="3" t="n">
        <v>42</v>
      </c>
      <c r="B43" s="3">
        <f>'Tariff Database'!B55</f>
        <v/>
      </c>
      <c r="C43" s="3">
        <f>'Tariff Database'!C55</f>
        <v/>
      </c>
      <c r="D43" s="3">
        <f>'Tariff Database'!D55</f>
        <v/>
      </c>
      <c r="E43" s="3">
        <f>'Tariff Database'!E55</f>
        <v/>
      </c>
      <c r="F43" s="3">
        <f>'Tariff Database'!K55</f>
        <v/>
      </c>
      <c r="G43" s="3">
        <f>'Tariff Database'!L55</f>
        <v/>
      </c>
      <c r="H43" s="3">
        <f>'Tariff Database'!M55</f>
        <v/>
      </c>
      <c r="I43" s="3">
        <f>'Tariff Database'!N55</f>
        <v/>
      </c>
      <c r="J43" s="3">
        <f>'Tariff Database'!O55</f>
        <v/>
      </c>
      <c r="K43" s="4">
        <f>'Tariff Database'!Y55</f>
        <v/>
      </c>
      <c r="L43" s="5">
        <f>'Tariff Database'!Z55</f>
        <v/>
      </c>
      <c r="M43" s="3">
        <f>'Tariff Database'!AB55</f>
        <v/>
      </c>
      <c r="N43" s="3">
        <f>'Tariff Database'!I55</f>
        <v/>
      </c>
    </row>
    <row r="44">
      <c r="A44" s="3" t="n">
        <v>43</v>
      </c>
      <c r="B44" s="3">
        <f>'Tariff Database'!B24</f>
        <v/>
      </c>
      <c r="C44" s="3">
        <f>'Tariff Database'!C24</f>
        <v/>
      </c>
      <c r="D44" s="3">
        <f>'Tariff Database'!D24</f>
        <v/>
      </c>
      <c r="E44" s="3">
        <f>'Tariff Database'!E24</f>
        <v/>
      </c>
      <c r="F44" s="3">
        <f>'Tariff Database'!K24</f>
        <v/>
      </c>
      <c r="G44" s="3">
        <f>'Tariff Database'!L24</f>
        <v/>
      </c>
      <c r="H44" s="3">
        <f>'Tariff Database'!M24</f>
        <v/>
      </c>
      <c r="I44" s="3">
        <f>'Tariff Database'!N24</f>
        <v/>
      </c>
      <c r="J44" s="3">
        <f>'Tariff Database'!O24</f>
        <v/>
      </c>
      <c r="K44" s="4">
        <f>'Tariff Database'!Y24</f>
        <v/>
      </c>
      <c r="L44" s="5">
        <f>'Tariff Database'!Z24</f>
        <v/>
      </c>
      <c r="M44" s="3">
        <f>'Tariff Database'!AB24</f>
        <v/>
      </c>
      <c r="N44" s="3">
        <f>'Tariff Database'!I24</f>
        <v/>
      </c>
    </row>
    <row r="45">
      <c r="A45" s="3" t="n">
        <v>44</v>
      </c>
      <c r="B45" s="3">
        <f>'Tariff Database'!B43</f>
        <v/>
      </c>
      <c r="C45" s="3">
        <f>'Tariff Database'!C43</f>
        <v/>
      </c>
      <c r="D45" s="3">
        <f>'Tariff Database'!D43</f>
        <v/>
      </c>
      <c r="E45" s="3">
        <f>'Tariff Database'!E43</f>
        <v/>
      </c>
      <c r="F45" s="3">
        <f>'Tariff Database'!K43</f>
        <v/>
      </c>
      <c r="G45" s="3">
        <f>'Tariff Database'!L43</f>
        <v/>
      </c>
      <c r="H45" s="3">
        <f>'Tariff Database'!M43</f>
        <v/>
      </c>
      <c r="I45" s="3">
        <f>'Tariff Database'!N43</f>
        <v/>
      </c>
      <c r="J45" s="3">
        <f>'Tariff Database'!O43</f>
        <v/>
      </c>
      <c r="K45" s="4">
        <f>'Tariff Database'!Y43</f>
        <v/>
      </c>
      <c r="L45" s="5">
        <f>'Tariff Database'!Z43</f>
        <v/>
      </c>
      <c r="M45" s="3">
        <f>'Tariff Database'!AB43</f>
        <v/>
      </c>
      <c r="N45" s="3">
        <f>'Tariff Database'!I43</f>
        <v/>
      </c>
    </row>
    <row r="46">
      <c r="A46" s="3" t="n">
        <v>45</v>
      </c>
      <c r="B46" s="3">
        <f>'Tariff Database'!B19</f>
        <v/>
      </c>
      <c r="C46" s="3">
        <f>'Tariff Database'!C19</f>
        <v/>
      </c>
      <c r="D46" s="3">
        <f>'Tariff Database'!D19</f>
        <v/>
      </c>
      <c r="E46" s="3">
        <f>'Tariff Database'!E19</f>
        <v/>
      </c>
      <c r="F46" s="3">
        <f>'Tariff Database'!K19</f>
        <v/>
      </c>
      <c r="G46" s="3">
        <f>'Tariff Database'!L19</f>
        <v/>
      </c>
      <c r="H46" s="3">
        <f>'Tariff Database'!M19</f>
        <v/>
      </c>
      <c r="I46" s="3">
        <f>'Tariff Database'!N19</f>
        <v/>
      </c>
      <c r="J46" s="3">
        <f>'Tariff Database'!O19</f>
        <v/>
      </c>
      <c r="K46" s="4">
        <f>'Tariff Database'!Y19</f>
        <v/>
      </c>
      <c r="L46" s="5">
        <f>'Tariff Database'!Z19</f>
        <v/>
      </c>
      <c r="M46" s="3">
        <f>'Tariff Database'!AB19</f>
        <v/>
      </c>
      <c r="N46" s="3">
        <f>'Tariff Database'!I19</f>
        <v/>
      </c>
    </row>
    <row r="47">
      <c r="A47" s="3" t="n">
        <v>46</v>
      </c>
      <c r="B47" s="3">
        <f>'Tariff Database'!B10</f>
        <v/>
      </c>
      <c r="C47" s="3">
        <f>'Tariff Database'!C10</f>
        <v/>
      </c>
      <c r="D47" s="3">
        <f>'Tariff Database'!D10</f>
        <v/>
      </c>
      <c r="E47" s="3">
        <f>'Tariff Database'!E10</f>
        <v/>
      </c>
      <c r="F47" s="3">
        <f>'Tariff Database'!K10</f>
        <v/>
      </c>
      <c r="G47" s="3">
        <f>'Tariff Database'!L10</f>
        <v/>
      </c>
      <c r="H47" s="3">
        <f>'Tariff Database'!M10</f>
        <v/>
      </c>
      <c r="I47" s="3">
        <f>'Tariff Database'!N10</f>
        <v/>
      </c>
      <c r="J47" s="3">
        <f>'Tariff Database'!O10</f>
        <v/>
      </c>
      <c r="K47" s="4">
        <f>'Tariff Database'!Y10</f>
        <v/>
      </c>
      <c r="L47" s="5">
        <f>'Tariff Database'!Z10</f>
        <v/>
      </c>
      <c r="M47" s="3">
        <f>'Tariff Database'!AB10</f>
        <v/>
      </c>
      <c r="N47" s="3">
        <f>'Tariff Database'!I10</f>
        <v/>
      </c>
    </row>
    <row r="48">
      <c r="A48" s="3" t="n">
        <v>47</v>
      </c>
      <c r="B48" s="3">
        <f>'Tariff Database'!B36</f>
        <v/>
      </c>
      <c r="C48" s="3">
        <f>'Tariff Database'!C36</f>
        <v/>
      </c>
      <c r="D48" s="3">
        <f>'Tariff Database'!D36</f>
        <v/>
      </c>
      <c r="E48" s="3">
        <f>'Tariff Database'!E36</f>
        <v/>
      </c>
      <c r="F48" s="3">
        <f>'Tariff Database'!K36</f>
        <v/>
      </c>
      <c r="G48" s="3">
        <f>'Tariff Database'!L36</f>
        <v/>
      </c>
      <c r="H48" s="3">
        <f>'Tariff Database'!M36</f>
        <v/>
      </c>
      <c r="I48" s="3">
        <f>'Tariff Database'!N36</f>
        <v/>
      </c>
      <c r="J48" s="3">
        <f>'Tariff Database'!O36</f>
        <v/>
      </c>
      <c r="K48" s="4">
        <f>'Tariff Database'!Y36</f>
        <v/>
      </c>
      <c r="L48" s="5">
        <f>'Tariff Database'!Z36</f>
        <v/>
      </c>
      <c r="M48" s="3">
        <f>'Tariff Database'!AB36</f>
        <v/>
      </c>
      <c r="N48" s="3">
        <f>'Tariff Database'!I36</f>
        <v/>
      </c>
    </row>
    <row r="49">
      <c r="A49" s="3" t="n">
        <v>48</v>
      </c>
      <c r="B49" s="3">
        <f>'Tariff Database'!B57</f>
        <v/>
      </c>
      <c r="C49" s="3">
        <f>'Tariff Database'!C57</f>
        <v/>
      </c>
      <c r="D49" s="3">
        <f>'Tariff Database'!D57</f>
        <v/>
      </c>
      <c r="E49" s="3">
        <f>'Tariff Database'!E57</f>
        <v/>
      </c>
      <c r="F49" s="3">
        <f>'Tariff Database'!K57</f>
        <v/>
      </c>
      <c r="G49" s="3">
        <f>'Tariff Database'!L57</f>
        <v/>
      </c>
      <c r="H49" s="3">
        <f>'Tariff Database'!M57</f>
        <v/>
      </c>
      <c r="I49" s="3">
        <f>'Tariff Database'!N57</f>
        <v/>
      </c>
      <c r="J49" s="3">
        <f>'Tariff Database'!O57</f>
        <v/>
      </c>
      <c r="K49" s="4">
        <f>'Tariff Database'!Y57</f>
        <v/>
      </c>
      <c r="L49" s="5">
        <f>'Tariff Database'!Z57</f>
        <v/>
      </c>
      <c r="M49" s="3">
        <f>'Tariff Database'!AB57</f>
        <v/>
      </c>
      <c r="N49" s="3">
        <f>'Tariff Database'!I57</f>
        <v/>
      </c>
    </row>
    <row r="50">
      <c r="A50" s="3" t="n">
        <v>49</v>
      </c>
      <c r="B50" s="3">
        <f>'Tariff Database'!B29</f>
        <v/>
      </c>
      <c r="C50" s="3">
        <f>'Tariff Database'!C29</f>
        <v/>
      </c>
      <c r="D50" s="3">
        <f>'Tariff Database'!D29</f>
        <v/>
      </c>
      <c r="E50" s="3">
        <f>'Tariff Database'!E29</f>
        <v/>
      </c>
      <c r="F50" s="3">
        <f>'Tariff Database'!K29</f>
        <v/>
      </c>
      <c r="G50" s="3">
        <f>'Tariff Database'!L29</f>
        <v/>
      </c>
      <c r="H50" s="3">
        <f>'Tariff Database'!M29</f>
        <v/>
      </c>
      <c r="I50" s="3">
        <f>'Tariff Database'!N29</f>
        <v/>
      </c>
      <c r="J50" s="3">
        <f>'Tariff Database'!O29</f>
        <v/>
      </c>
      <c r="K50" s="4">
        <f>'Tariff Database'!Y29</f>
        <v/>
      </c>
      <c r="L50" s="5">
        <f>'Tariff Database'!Z29</f>
        <v/>
      </c>
      <c r="M50" s="3">
        <f>'Tariff Database'!AB29</f>
        <v/>
      </c>
      <c r="N50" s="3">
        <f>'Tariff Database'!I29</f>
        <v/>
      </c>
    </row>
    <row r="51">
      <c r="A51" s="3" t="n">
        <v>50</v>
      </c>
      <c r="B51" s="3">
        <f>'Tariff Database'!B52</f>
        <v/>
      </c>
      <c r="C51" s="3">
        <f>'Tariff Database'!C52</f>
        <v/>
      </c>
      <c r="D51" s="3">
        <f>'Tariff Database'!D52</f>
        <v/>
      </c>
      <c r="E51" s="3">
        <f>'Tariff Database'!E52</f>
        <v/>
      </c>
      <c r="F51" s="3">
        <f>'Tariff Database'!K52</f>
        <v/>
      </c>
      <c r="G51" s="3">
        <f>'Tariff Database'!L52</f>
        <v/>
      </c>
      <c r="H51" s="3">
        <f>'Tariff Database'!M52</f>
        <v/>
      </c>
      <c r="I51" s="3">
        <f>'Tariff Database'!N52</f>
        <v/>
      </c>
      <c r="J51" s="3">
        <f>'Tariff Database'!O52</f>
        <v/>
      </c>
      <c r="K51" s="4">
        <f>'Tariff Database'!Y52</f>
        <v/>
      </c>
      <c r="L51" s="5">
        <f>'Tariff Database'!Z52</f>
        <v/>
      </c>
      <c r="M51" s="3">
        <f>'Tariff Database'!AB52</f>
        <v/>
      </c>
      <c r="N51" s="3">
        <f>'Tariff Database'!I52</f>
        <v/>
      </c>
    </row>
    <row r="52">
      <c r="A52" s="3" t="n">
        <v>51</v>
      </c>
      <c r="B52" s="3">
        <f>'Tariff Database'!B32</f>
        <v/>
      </c>
      <c r="C52" s="3">
        <f>'Tariff Database'!C32</f>
        <v/>
      </c>
      <c r="D52" s="3">
        <f>'Tariff Database'!D32</f>
        <v/>
      </c>
      <c r="E52" s="3">
        <f>'Tariff Database'!E32</f>
        <v/>
      </c>
      <c r="F52" s="3">
        <f>'Tariff Database'!K32</f>
        <v/>
      </c>
      <c r="G52" s="3">
        <f>'Tariff Database'!L32</f>
        <v/>
      </c>
      <c r="H52" s="3">
        <f>'Tariff Database'!M32</f>
        <v/>
      </c>
      <c r="I52" s="3">
        <f>'Tariff Database'!N32</f>
        <v/>
      </c>
      <c r="J52" s="3">
        <f>'Tariff Database'!O32</f>
        <v/>
      </c>
      <c r="K52" s="4">
        <f>'Tariff Database'!Y32</f>
        <v/>
      </c>
      <c r="L52" s="5">
        <f>'Tariff Database'!Z32</f>
        <v/>
      </c>
      <c r="M52" s="3">
        <f>'Tariff Database'!AB32</f>
        <v/>
      </c>
      <c r="N52" s="3">
        <f>'Tariff Database'!I32</f>
        <v/>
      </c>
    </row>
    <row r="53">
      <c r="A53" s="3" t="n">
        <v>52</v>
      </c>
      <c r="B53" s="3">
        <f>'Tariff Database'!B26</f>
        <v/>
      </c>
      <c r="C53" s="3">
        <f>'Tariff Database'!C26</f>
        <v/>
      </c>
      <c r="D53" s="3">
        <f>'Tariff Database'!D26</f>
        <v/>
      </c>
      <c r="E53" s="3">
        <f>'Tariff Database'!E26</f>
        <v/>
      </c>
      <c r="F53" s="3">
        <f>'Tariff Database'!K26</f>
        <v/>
      </c>
      <c r="G53" s="3">
        <f>'Tariff Database'!L26</f>
        <v/>
      </c>
      <c r="H53" s="3">
        <f>'Tariff Database'!M26</f>
        <v/>
      </c>
      <c r="I53" s="3">
        <f>'Tariff Database'!N26</f>
        <v/>
      </c>
      <c r="J53" s="3">
        <f>'Tariff Database'!O26</f>
        <v/>
      </c>
      <c r="K53" s="4">
        <f>'Tariff Database'!Y26</f>
        <v/>
      </c>
      <c r="L53" s="5">
        <f>'Tariff Database'!Z26</f>
        <v/>
      </c>
      <c r="M53" s="3">
        <f>'Tariff Database'!AB26</f>
        <v/>
      </c>
      <c r="N53" s="3">
        <f>'Tariff Database'!I26</f>
        <v/>
      </c>
    </row>
    <row r="54">
      <c r="A54" s="3" t="n">
        <v>53</v>
      </c>
      <c r="B54" s="3">
        <f>'Tariff Database'!B44</f>
        <v/>
      </c>
      <c r="C54" s="3">
        <f>'Tariff Database'!C44</f>
        <v/>
      </c>
      <c r="D54" s="3">
        <f>'Tariff Database'!D44</f>
        <v/>
      </c>
      <c r="E54" s="3">
        <f>'Tariff Database'!E44</f>
        <v/>
      </c>
      <c r="F54" s="3">
        <f>'Tariff Database'!K44</f>
        <v/>
      </c>
      <c r="G54" s="3">
        <f>'Tariff Database'!L44</f>
        <v/>
      </c>
      <c r="H54" s="3">
        <f>'Tariff Database'!M44</f>
        <v/>
      </c>
      <c r="I54" s="3">
        <f>'Tariff Database'!N44</f>
        <v/>
      </c>
      <c r="J54" s="3">
        <f>'Tariff Database'!O44</f>
        <v/>
      </c>
      <c r="K54" s="4">
        <f>'Tariff Database'!Y44</f>
        <v/>
      </c>
      <c r="L54" s="5">
        <f>'Tariff Database'!Z44</f>
        <v/>
      </c>
      <c r="M54" s="3">
        <f>'Tariff Database'!AB44</f>
        <v/>
      </c>
      <c r="N54" s="3">
        <f>'Tariff Database'!I44</f>
        <v/>
      </c>
    </row>
    <row r="55">
      <c r="A55" s="3" t="n">
        <v>54</v>
      </c>
      <c r="B55" s="3">
        <f>'Tariff Database'!B54</f>
        <v/>
      </c>
      <c r="C55" s="3">
        <f>'Tariff Database'!C54</f>
        <v/>
      </c>
      <c r="D55" s="3">
        <f>'Tariff Database'!D54</f>
        <v/>
      </c>
      <c r="E55" s="3">
        <f>'Tariff Database'!E54</f>
        <v/>
      </c>
      <c r="F55" s="3">
        <f>'Tariff Database'!K54</f>
        <v/>
      </c>
      <c r="G55" s="3">
        <f>'Tariff Database'!L54</f>
        <v/>
      </c>
      <c r="H55" s="3">
        <f>'Tariff Database'!M54</f>
        <v/>
      </c>
      <c r="I55" s="3">
        <f>'Tariff Database'!N54</f>
        <v/>
      </c>
      <c r="J55" s="3">
        <f>'Tariff Database'!O54</f>
        <v/>
      </c>
      <c r="K55" s="4">
        <f>'Tariff Database'!Y54</f>
        <v/>
      </c>
      <c r="L55" s="5">
        <f>'Tariff Database'!Z54</f>
        <v/>
      </c>
      <c r="M55" s="3">
        <f>'Tariff Database'!AB54</f>
        <v/>
      </c>
      <c r="N55" s="3">
        <f>'Tariff Database'!I54</f>
        <v/>
      </c>
    </row>
    <row r="56">
      <c r="A56" s="3" t="n">
        <v>55</v>
      </c>
      <c r="B56" s="3">
        <f>'Tariff Database'!B28</f>
        <v/>
      </c>
      <c r="C56" s="3">
        <f>'Tariff Database'!C28</f>
        <v/>
      </c>
      <c r="D56" s="3">
        <f>'Tariff Database'!D28</f>
        <v/>
      </c>
      <c r="E56" s="3">
        <f>'Tariff Database'!E28</f>
        <v/>
      </c>
      <c r="F56" s="3">
        <f>'Tariff Database'!K28</f>
        <v/>
      </c>
      <c r="G56" s="3">
        <f>'Tariff Database'!L28</f>
        <v/>
      </c>
      <c r="H56" s="3">
        <f>'Tariff Database'!M28</f>
        <v/>
      </c>
      <c r="I56" s="3">
        <f>'Tariff Database'!N28</f>
        <v/>
      </c>
      <c r="J56" s="3">
        <f>'Tariff Database'!O28</f>
        <v/>
      </c>
      <c r="K56" s="4">
        <f>'Tariff Database'!Y28</f>
        <v/>
      </c>
      <c r="L56" s="5">
        <f>'Tariff Database'!Z28</f>
        <v/>
      </c>
      <c r="M56" s="3">
        <f>'Tariff Database'!AB28</f>
        <v/>
      </c>
      <c r="N56" s="3">
        <f>'Tariff Database'!I28</f>
        <v/>
      </c>
    </row>
    <row r="57">
      <c r="A57" s="3" t="n">
        <v>56</v>
      </c>
      <c r="B57" s="3">
        <f>'Tariff Database'!B64</f>
        <v/>
      </c>
      <c r="C57" s="3">
        <f>'Tariff Database'!C64</f>
        <v/>
      </c>
      <c r="D57" s="3">
        <f>'Tariff Database'!D64</f>
        <v/>
      </c>
      <c r="E57" s="3">
        <f>'Tariff Database'!E64</f>
        <v/>
      </c>
      <c r="F57" s="3">
        <f>'Tariff Database'!K64</f>
        <v/>
      </c>
      <c r="G57" s="3">
        <f>'Tariff Database'!L64</f>
        <v/>
      </c>
      <c r="H57" s="3">
        <f>'Tariff Database'!M64</f>
        <v/>
      </c>
      <c r="I57" s="3">
        <f>'Tariff Database'!N64</f>
        <v/>
      </c>
      <c r="J57" s="3">
        <f>'Tariff Database'!O64</f>
        <v/>
      </c>
      <c r="K57" s="4">
        <f>'Tariff Database'!Y64</f>
        <v/>
      </c>
      <c r="L57" s="5">
        <f>'Tariff Database'!Z64</f>
        <v/>
      </c>
      <c r="M57" s="3">
        <f>'Tariff Database'!AB64</f>
        <v/>
      </c>
      <c r="N57" s="3">
        <f>'Tariff Database'!I64</f>
        <v/>
      </c>
    </row>
    <row r="58">
      <c r="A58" s="3" t="n">
        <v>57</v>
      </c>
      <c r="B58" s="3">
        <f>'Tariff Database'!B66</f>
        <v/>
      </c>
      <c r="C58" s="3">
        <f>'Tariff Database'!C66</f>
        <v/>
      </c>
      <c r="D58" s="3">
        <f>'Tariff Database'!D66</f>
        <v/>
      </c>
      <c r="E58" s="3">
        <f>'Tariff Database'!E66</f>
        <v/>
      </c>
      <c r="F58" s="3">
        <f>'Tariff Database'!K66</f>
        <v/>
      </c>
      <c r="G58" s="3">
        <f>'Tariff Database'!L66</f>
        <v/>
      </c>
      <c r="H58" s="3">
        <f>'Tariff Database'!M66</f>
        <v/>
      </c>
      <c r="I58" s="3">
        <f>'Tariff Database'!N66</f>
        <v/>
      </c>
      <c r="J58" s="3">
        <f>'Tariff Database'!O66</f>
        <v/>
      </c>
      <c r="K58" s="4">
        <f>'Tariff Database'!Y66</f>
        <v/>
      </c>
      <c r="L58" s="5">
        <f>'Tariff Database'!Z66</f>
        <v/>
      </c>
      <c r="M58" s="3">
        <f>'Tariff Database'!AB66</f>
        <v/>
      </c>
      <c r="N58" s="3">
        <f>'Tariff Database'!I66</f>
        <v/>
      </c>
    </row>
    <row r="59">
      <c r="A59" s="3" t="n">
        <v>58</v>
      </c>
      <c r="B59" s="3">
        <f>'Tariff Database'!B30</f>
        <v/>
      </c>
      <c r="C59" s="3">
        <f>'Tariff Database'!C30</f>
        <v/>
      </c>
      <c r="D59" s="3">
        <f>'Tariff Database'!D30</f>
        <v/>
      </c>
      <c r="E59" s="3">
        <f>'Tariff Database'!E30</f>
        <v/>
      </c>
      <c r="F59" s="3">
        <f>'Tariff Database'!K30</f>
        <v/>
      </c>
      <c r="G59" s="3">
        <f>'Tariff Database'!L30</f>
        <v/>
      </c>
      <c r="H59" s="3">
        <f>'Tariff Database'!M30</f>
        <v/>
      </c>
      <c r="I59" s="3">
        <f>'Tariff Database'!N30</f>
        <v/>
      </c>
      <c r="J59" s="3">
        <f>'Tariff Database'!O30</f>
        <v/>
      </c>
      <c r="K59" s="4">
        <f>'Tariff Database'!Y30</f>
        <v/>
      </c>
      <c r="L59" s="5">
        <f>'Tariff Database'!Z30</f>
        <v/>
      </c>
      <c r="M59" s="3">
        <f>'Tariff Database'!AB30</f>
        <v/>
      </c>
      <c r="N59" s="3">
        <f>'Tariff Database'!I30</f>
        <v/>
      </c>
    </row>
    <row r="60">
      <c r="A60" s="3" t="n">
        <v>59</v>
      </c>
      <c r="B60" s="3">
        <f>'Tariff Database'!B14</f>
        <v/>
      </c>
      <c r="C60" s="3">
        <f>'Tariff Database'!C14</f>
        <v/>
      </c>
      <c r="D60" s="3">
        <f>'Tariff Database'!D14</f>
        <v/>
      </c>
      <c r="E60" s="3">
        <f>'Tariff Database'!E14</f>
        <v/>
      </c>
      <c r="F60" s="3">
        <f>'Tariff Database'!K14</f>
        <v/>
      </c>
      <c r="G60" s="3">
        <f>'Tariff Database'!L14</f>
        <v/>
      </c>
      <c r="H60" s="3">
        <f>'Tariff Database'!M14</f>
        <v/>
      </c>
      <c r="I60" s="3">
        <f>'Tariff Database'!N14</f>
        <v/>
      </c>
      <c r="J60" s="3">
        <f>'Tariff Database'!O14</f>
        <v/>
      </c>
      <c r="K60" s="4">
        <f>'Tariff Database'!Y14</f>
        <v/>
      </c>
      <c r="L60" s="5">
        <f>'Tariff Database'!Z14</f>
        <v/>
      </c>
      <c r="M60" s="3">
        <f>'Tariff Database'!AB14</f>
        <v/>
      </c>
      <c r="N60" s="3">
        <f>'Tariff Database'!I14</f>
        <v/>
      </c>
    </row>
    <row r="61">
      <c r="A61" s="3" t="n">
        <v>60</v>
      </c>
      <c r="B61" s="3">
        <f>'Tariff Database'!B63</f>
        <v/>
      </c>
      <c r="C61" s="3">
        <f>'Tariff Database'!C63</f>
        <v/>
      </c>
      <c r="D61" s="3">
        <f>'Tariff Database'!D63</f>
        <v/>
      </c>
      <c r="E61" s="3">
        <f>'Tariff Database'!E63</f>
        <v/>
      </c>
      <c r="F61" s="3">
        <f>'Tariff Database'!K63</f>
        <v/>
      </c>
      <c r="G61" s="3">
        <f>'Tariff Database'!L63</f>
        <v/>
      </c>
      <c r="H61" s="3">
        <f>'Tariff Database'!M63</f>
        <v/>
      </c>
      <c r="I61" s="3">
        <f>'Tariff Database'!N63</f>
        <v/>
      </c>
      <c r="J61" s="3">
        <f>'Tariff Database'!O63</f>
        <v/>
      </c>
      <c r="K61" s="4">
        <f>'Tariff Database'!Y63</f>
        <v/>
      </c>
      <c r="L61" s="5">
        <f>'Tariff Database'!Z63</f>
        <v/>
      </c>
      <c r="M61" s="3">
        <f>'Tariff Database'!AB63</f>
        <v/>
      </c>
      <c r="N61" s="3">
        <f>'Tariff Database'!I63</f>
        <v/>
      </c>
    </row>
    <row r="62">
      <c r="A62" s="3" t="n">
        <v>61</v>
      </c>
      <c r="B62" s="3">
        <f>'Tariff Database'!B69</f>
        <v/>
      </c>
      <c r="C62" s="3">
        <f>'Tariff Database'!C69</f>
        <v/>
      </c>
      <c r="D62" s="3">
        <f>'Tariff Database'!D69</f>
        <v/>
      </c>
      <c r="E62" s="3">
        <f>'Tariff Database'!E69</f>
        <v/>
      </c>
      <c r="F62" s="3">
        <f>'Tariff Database'!K69</f>
        <v/>
      </c>
      <c r="G62" s="3">
        <f>'Tariff Database'!L69</f>
        <v/>
      </c>
      <c r="H62" s="3">
        <f>'Tariff Database'!M69</f>
        <v/>
      </c>
      <c r="I62" s="3">
        <f>'Tariff Database'!N69</f>
        <v/>
      </c>
      <c r="J62" s="3">
        <f>'Tariff Database'!O69</f>
        <v/>
      </c>
      <c r="K62" s="4">
        <f>'Tariff Database'!Y69</f>
        <v/>
      </c>
      <c r="L62" s="5">
        <f>'Tariff Database'!Z69</f>
        <v/>
      </c>
      <c r="M62" s="3">
        <f>'Tariff Database'!AB69</f>
        <v/>
      </c>
      <c r="N62" s="3">
        <f>'Tariff Database'!I69</f>
        <v/>
      </c>
    </row>
    <row r="63">
      <c r="A63" s="3" t="n">
        <v>62</v>
      </c>
      <c r="B63" s="3">
        <f>'Tariff Database'!B62</f>
        <v/>
      </c>
      <c r="C63" s="3">
        <f>'Tariff Database'!C62</f>
        <v/>
      </c>
      <c r="D63" s="3">
        <f>'Tariff Database'!D62</f>
        <v/>
      </c>
      <c r="E63" s="3">
        <f>'Tariff Database'!E62</f>
        <v/>
      </c>
      <c r="F63" s="3">
        <f>'Tariff Database'!K62</f>
        <v/>
      </c>
      <c r="G63" s="3">
        <f>'Tariff Database'!L62</f>
        <v/>
      </c>
      <c r="H63" s="3">
        <f>'Tariff Database'!M62</f>
        <v/>
      </c>
      <c r="I63" s="3">
        <f>'Tariff Database'!N62</f>
        <v/>
      </c>
      <c r="J63" s="3">
        <f>'Tariff Database'!O62</f>
        <v/>
      </c>
      <c r="K63" s="4">
        <f>'Tariff Database'!Y62</f>
        <v/>
      </c>
      <c r="L63" s="5">
        <f>'Tariff Database'!Z62</f>
        <v/>
      </c>
      <c r="M63" s="3">
        <f>'Tariff Database'!AB62</f>
        <v/>
      </c>
      <c r="N63" s="3">
        <f>'Tariff Database'!I62</f>
        <v/>
      </c>
    </row>
    <row r="64">
      <c r="A64" s="3" t="n">
        <v>63</v>
      </c>
      <c r="B64" s="3">
        <f>'Tariff Database'!B41</f>
        <v/>
      </c>
      <c r="C64" s="3">
        <f>'Tariff Database'!C41</f>
        <v/>
      </c>
      <c r="D64" s="3">
        <f>'Tariff Database'!D41</f>
        <v/>
      </c>
      <c r="E64" s="3">
        <f>'Tariff Database'!E41</f>
        <v/>
      </c>
      <c r="F64" s="3">
        <f>'Tariff Database'!K41</f>
        <v/>
      </c>
      <c r="G64" s="3">
        <f>'Tariff Database'!L41</f>
        <v/>
      </c>
      <c r="H64" s="3">
        <f>'Tariff Database'!M41</f>
        <v/>
      </c>
      <c r="I64" s="3">
        <f>'Tariff Database'!N41</f>
        <v/>
      </c>
      <c r="J64" s="3">
        <f>'Tariff Database'!O41</f>
        <v/>
      </c>
      <c r="K64" s="4">
        <f>'Tariff Database'!Y41</f>
        <v/>
      </c>
      <c r="L64" s="5">
        <f>'Tariff Database'!Z41</f>
        <v/>
      </c>
      <c r="M64" s="3">
        <f>'Tariff Database'!AB41</f>
        <v/>
      </c>
      <c r="N64" s="3">
        <f>'Tariff Database'!I41</f>
        <v/>
      </c>
    </row>
    <row r="65">
      <c r="A65" s="3" t="n">
        <v>64</v>
      </c>
      <c r="B65" s="3">
        <f>'Tariff Database'!B74</f>
        <v/>
      </c>
      <c r="C65" s="3">
        <f>'Tariff Database'!C74</f>
        <v/>
      </c>
      <c r="D65" s="3">
        <f>'Tariff Database'!D74</f>
        <v/>
      </c>
      <c r="E65" s="3">
        <f>'Tariff Database'!E74</f>
        <v/>
      </c>
      <c r="F65" s="3">
        <f>'Tariff Database'!K74</f>
        <v/>
      </c>
      <c r="G65" s="3">
        <f>'Tariff Database'!L74</f>
        <v/>
      </c>
      <c r="H65" s="3">
        <f>'Tariff Database'!M74</f>
        <v/>
      </c>
      <c r="I65" s="3">
        <f>'Tariff Database'!N74</f>
        <v/>
      </c>
      <c r="J65" s="3">
        <f>'Tariff Database'!O74</f>
        <v/>
      </c>
      <c r="K65" s="4">
        <f>'Tariff Database'!Y74</f>
        <v/>
      </c>
      <c r="L65" s="5">
        <f>'Tariff Database'!Z74</f>
        <v/>
      </c>
      <c r="M65" s="3">
        <f>'Tariff Database'!AB74</f>
        <v/>
      </c>
      <c r="N65" s="3">
        <f>'Tariff Database'!I74</f>
        <v/>
      </c>
    </row>
    <row r="66">
      <c r="A66" s="3" t="n">
        <v>65</v>
      </c>
      <c r="B66" s="3">
        <f>'Tariff Database'!B70</f>
        <v/>
      </c>
      <c r="C66" s="3">
        <f>'Tariff Database'!C70</f>
        <v/>
      </c>
      <c r="D66" s="3">
        <f>'Tariff Database'!D70</f>
        <v/>
      </c>
      <c r="E66" s="3">
        <f>'Tariff Database'!E70</f>
        <v/>
      </c>
      <c r="F66" s="3">
        <f>'Tariff Database'!K70</f>
        <v/>
      </c>
      <c r="G66" s="3">
        <f>'Tariff Database'!L70</f>
        <v/>
      </c>
      <c r="H66" s="3">
        <f>'Tariff Database'!M70</f>
        <v/>
      </c>
      <c r="I66" s="3">
        <f>'Tariff Database'!N70</f>
        <v/>
      </c>
      <c r="J66" s="3">
        <f>'Tariff Database'!O70</f>
        <v/>
      </c>
      <c r="K66" s="4">
        <f>'Tariff Database'!Y70</f>
        <v/>
      </c>
      <c r="L66" s="5">
        <f>'Tariff Database'!Z70</f>
        <v/>
      </c>
      <c r="M66" s="3">
        <f>'Tariff Database'!AB70</f>
        <v/>
      </c>
      <c r="N66" s="3">
        <f>'Tariff Database'!I70</f>
        <v/>
      </c>
    </row>
    <row r="67">
      <c r="A67" s="3" t="n">
        <v>66</v>
      </c>
      <c r="B67" s="3">
        <f>'Tariff Database'!B72</f>
        <v/>
      </c>
      <c r="C67" s="3">
        <f>'Tariff Database'!C72</f>
        <v/>
      </c>
      <c r="D67" s="3">
        <f>'Tariff Database'!D72</f>
        <v/>
      </c>
      <c r="E67" s="3">
        <f>'Tariff Database'!E72</f>
        <v/>
      </c>
      <c r="F67" s="3">
        <f>'Tariff Database'!K72</f>
        <v/>
      </c>
      <c r="G67" s="3">
        <f>'Tariff Database'!L72</f>
        <v/>
      </c>
      <c r="H67" s="3">
        <f>'Tariff Database'!M72</f>
        <v/>
      </c>
      <c r="I67" s="3">
        <f>'Tariff Database'!N72</f>
        <v/>
      </c>
      <c r="J67" s="3">
        <f>'Tariff Database'!O72</f>
        <v/>
      </c>
      <c r="K67" s="4">
        <f>'Tariff Database'!Y72</f>
        <v/>
      </c>
      <c r="L67" s="5">
        <f>'Tariff Database'!Z72</f>
        <v/>
      </c>
      <c r="M67" s="3">
        <f>'Tariff Database'!AB72</f>
        <v/>
      </c>
      <c r="N67" s="3">
        <f>'Tariff Database'!I72</f>
        <v/>
      </c>
    </row>
    <row r="68">
      <c r="A68" s="3" t="n">
        <v>67</v>
      </c>
      <c r="B68" s="3">
        <f>'Tariff Database'!B73</f>
        <v/>
      </c>
      <c r="C68" s="3">
        <f>'Tariff Database'!C73</f>
        <v/>
      </c>
      <c r="D68" s="3">
        <f>'Tariff Database'!D73</f>
        <v/>
      </c>
      <c r="E68" s="3">
        <f>'Tariff Database'!E73</f>
        <v/>
      </c>
      <c r="F68" s="3">
        <f>'Tariff Database'!K73</f>
        <v/>
      </c>
      <c r="G68" s="3">
        <f>'Tariff Database'!L73</f>
        <v/>
      </c>
      <c r="H68" s="3">
        <f>'Tariff Database'!M73</f>
        <v/>
      </c>
      <c r="I68" s="3">
        <f>'Tariff Database'!N73</f>
        <v/>
      </c>
      <c r="J68" s="3">
        <f>'Tariff Database'!O73</f>
        <v/>
      </c>
      <c r="K68" s="4">
        <f>'Tariff Database'!Y73</f>
        <v/>
      </c>
      <c r="L68" s="5">
        <f>'Tariff Database'!Z73</f>
        <v/>
      </c>
      <c r="M68" s="3">
        <f>'Tariff Database'!AB73</f>
        <v/>
      </c>
      <c r="N68" s="3">
        <f>'Tariff Database'!I73</f>
        <v/>
      </c>
    </row>
    <row r="69">
      <c r="A69" s="3" t="n">
        <v>68</v>
      </c>
      <c r="B69" s="3">
        <f>'Tariff Database'!B61</f>
        <v/>
      </c>
      <c r="C69" s="3">
        <f>'Tariff Database'!C61</f>
        <v/>
      </c>
      <c r="D69" s="3">
        <f>'Tariff Database'!D61</f>
        <v/>
      </c>
      <c r="E69" s="3">
        <f>'Tariff Database'!E61</f>
        <v/>
      </c>
      <c r="F69" s="3">
        <f>'Tariff Database'!K61</f>
        <v/>
      </c>
      <c r="G69" s="3">
        <f>'Tariff Database'!L61</f>
        <v/>
      </c>
      <c r="H69" s="3">
        <f>'Tariff Database'!M61</f>
        <v/>
      </c>
      <c r="I69" s="3">
        <f>'Tariff Database'!N61</f>
        <v/>
      </c>
      <c r="J69" s="3">
        <f>'Tariff Database'!O61</f>
        <v/>
      </c>
      <c r="K69" s="4">
        <f>'Tariff Database'!Y61</f>
        <v/>
      </c>
      <c r="L69" s="5">
        <f>'Tariff Database'!Z61</f>
        <v/>
      </c>
      <c r="M69" s="3">
        <f>'Tariff Database'!AB61</f>
        <v/>
      </c>
      <c r="N69" s="3">
        <f>'Tariff Database'!I61</f>
        <v/>
      </c>
    </row>
    <row r="70">
      <c r="A70" s="3" t="n">
        <v>69</v>
      </c>
      <c r="B70" s="3">
        <f>'Tariff Database'!B71</f>
        <v/>
      </c>
      <c r="C70" s="3">
        <f>'Tariff Database'!C71</f>
        <v/>
      </c>
      <c r="D70" s="3">
        <f>'Tariff Database'!D71</f>
        <v/>
      </c>
      <c r="E70" s="3">
        <f>'Tariff Database'!E71</f>
        <v/>
      </c>
      <c r="F70" s="3">
        <f>'Tariff Database'!K71</f>
        <v/>
      </c>
      <c r="G70" s="3">
        <f>'Tariff Database'!L71</f>
        <v/>
      </c>
      <c r="H70" s="3">
        <f>'Tariff Database'!M71</f>
        <v/>
      </c>
      <c r="I70" s="3">
        <f>'Tariff Database'!N71</f>
        <v/>
      </c>
      <c r="J70" s="3">
        <f>'Tariff Database'!O71</f>
        <v/>
      </c>
      <c r="K70" s="4">
        <f>'Tariff Database'!Y71</f>
        <v/>
      </c>
      <c r="L70" s="5">
        <f>'Tariff Database'!Z71</f>
        <v/>
      </c>
      <c r="M70" s="3">
        <f>'Tariff Database'!AB71</f>
        <v/>
      </c>
      <c r="N70" s="3">
        <f>'Tariff Database'!I71</f>
        <v/>
      </c>
    </row>
    <row r="71">
      <c r="A71" s="3" t="n">
        <v>70</v>
      </c>
      <c r="B71" s="3">
        <f>'Tariff Database'!B60</f>
        <v/>
      </c>
      <c r="C71" s="3">
        <f>'Tariff Database'!C60</f>
        <v/>
      </c>
      <c r="D71" s="3">
        <f>'Tariff Database'!D60</f>
        <v/>
      </c>
      <c r="E71" s="3">
        <f>'Tariff Database'!E60</f>
        <v/>
      </c>
      <c r="F71" s="3">
        <f>'Tariff Database'!K60</f>
        <v/>
      </c>
      <c r="G71" s="3">
        <f>'Tariff Database'!L60</f>
        <v/>
      </c>
      <c r="H71" s="3">
        <f>'Tariff Database'!M60</f>
        <v/>
      </c>
      <c r="I71" s="3">
        <f>'Tariff Database'!N60</f>
        <v/>
      </c>
      <c r="J71" s="3">
        <f>'Tariff Database'!O60</f>
        <v/>
      </c>
      <c r="K71" s="4">
        <f>'Tariff Database'!Y60</f>
        <v/>
      </c>
      <c r="L71" s="5">
        <f>'Tariff Database'!Z60</f>
        <v/>
      </c>
      <c r="M71" s="3">
        <f>'Tariff Database'!AB60</f>
        <v/>
      </c>
      <c r="N71" s="3">
        <f>'Tariff Database'!I60</f>
        <v/>
      </c>
    </row>
    <row r="72">
      <c r="A72" s="3" t="n">
        <v>71</v>
      </c>
      <c r="B72" s="3">
        <f>'Tariff Database'!B68</f>
        <v/>
      </c>
      <c r="C72" s="3">
        <f>'Tariff Database'!C68</f>
        <v/>
      </c>
      <c r="D72" s="3">
        <f>'Tariff Database'!D68</f>
        <v/>
      </c>
      <c r="E72" s="3">
        <f>'Tariff Database'!E68</f>
        <v/>
      </c>
      <c r="F72" s="3">
        <f>'Tariff Database'!K68</f>
        <v/>
      </c>
      <c r="G72" s="3">
        <f>'Tariff Database'!L68</f>
        <v/>
      </c>
      <c r="H72" s="3">
        <f>'Tariff Database'!M68</f>
        <v/>
      </c>
      <c r="I72" s="3">
        <f>'Tariff Database'!N68</f>
        <v/>
      </c>
      <c r="J72" s="3">
        <f>'Tariff Database'!O68</f>
        <v/>
      </c>
      <c r="K72" s="4">
        <f>'Tariff Database'!Y68</f>
        <v/>
      </c>
      <c r="L72" s="5">
        <f>'Tariff Database'!Z68</f>
        <v/>
      </c>
      <c r="M72" s="3">
        <f>'Tariff Database'!AB68</f>
        <v/>
      </c>
      <c r="N72" s="3">
        <f>'Tariff Database'!I68</f>
        <v/>
      </c>
    </row>
    <row r="73">
      <c r="A73" s="3" t="n">
        <v>72</v>
      </c>
      <c r="B73" s="3">
        <f>'Tariff Database'!B59</f>
        <v/>
      </c>
      <c r="C73" s="3">
        <f>'Tariff Database'!C59</f>
        <v/>
      </c>
      <c r="D73" s="3">
        <f>'Tariff Database'!D59</f>
        <v/>
      </c>
      <c r="E73" s="3">
        <f>'Tariff Database'!E59</f>
        <v/>
      </c>
      <c r="F73" s="3">
        <f>'Tariff Database'!K59</f>
        <v/>
      </c>
      <c r="G73" s="3">
        <f>'Tariff Database'!L59</f>
        <v/>
      </c>
      <c r="H73" s="3">
        <f>'Tariff Database'!M59</f>
        <v/>
      </c>
      <c r="I73" s="3">
        <f>'Tariff Database'!N59</f>
        <v/>
      </c>
      <c r="J73" s="3">
        <f>'Tariff Database'!O59</f>
        <v/>
      </c>
      <c r="K73" s="4">
        <f>'Tariff Database'!Y59</f>
        <v/>
      </c>
      <c r="L73" s="5">
        <f>'Tariff Database'!Z59</f>
        <v/>
      </c>
      <c r="M73" s="3">
        <f>'Tariff Database'!AB59</f>
        <v/>
      </c>
      <c r="N73" s="3">
        <f>'Tariff Database'!I59</f>
        <v/>
      </c>
    </row>
    <row r="74">
      <c r="A74" s="3" t="n">
        <v>73</v>
      </c>
      <c r="B74" s="3">
        <f>'Tariff Database'!B75</f>
        <v/>
      </c>
      <c r="C74" s="3">
        <f>'Tariff Database'!C75</f>
        <v/>
      </c>
      <c r="D74" s="3">
        <f>'Tariff Database'!D75</f>
        <v/>
      </c>
      <c r="E74" s="3">
        <f>'Tariff Database'!E75</f>
        <v/>
      </c>
      <c r="F74" s="3">
        <f>'Tariff Database'!K75</f>
        <v/>
      </c>
      <c r="G74" s="3">
        <f>'Tariff Database'!L75</f>
        <v/>
      </c>
      <c r="H74" s="3">
        <f>'Tariff Database'!M75</f>
        <v/>
      </c>
      <c r="I74" s="3">
        <f>'Tariff Database'!N75</f>
        <v/>
      </c>
      <c r="J74" s="3">
        <f>'Tariff Database'!O75</f>
        <v/>
      </c>
      <c r="K74" s="3">
        <f>'Tariff Database'!Y75</f>
        <v/>
      </c>
      <c r="L74" s="3">
        <f>'Tariff Database'!Z75</f>
        <v/>
      </c>
      <c r="M74" s="3">
        <f>'Tariff Database'!AB75</f>
        <v/>
      </c>
      <c r="N74" s="3">
        <f>'Tariff Database'!I75</f>
        <v/>
      </c>
    </row>
    <row r="75">
      <c r="A75" s="3" t="n">
        <v>74</v>
      </c>
      <c r="B75" s="3">
        <f>'Tariff Database'!B76</f>
        <v/>
      </c>
      <c r="C75" s="3">
        <f>'Tariff Database'!C76</f>
        <v/>
      </c>
      <c r="D75" s="3">
        <f>'Tariff Database'!D76</f>
        <v/>
      </c>
      <c r="E75" s="3">
        <f>'Tariff Database'!E76</f>
        <v/>
      </c>
      <c r="F75" s="3">
        <f>'Tariff Database'!K76</f>
        <v/>
      </c>
      <c r="G75" s="3">
        <f>'Tariff Database'!L76</f>
        <v/>
      </c>
      <c r="H75" s="3">
        <f>'Tariff Database'!M76</f>
        <v/>
      </c>
      <c r="I75" s="3">
        <f>'Tariff Database'!N76</f>
        <v/>
      </c>
      <c r="J75" s="3">
        <f>'Tariff Database'!O76</f>
        <v/>
      </c>
      <c r="K75" s="3">
        <f>'Tariff Database'!Y76</f>
        <v/>
      </c>
      <c r="L75" s="3">
        <f>'Tariff Database'!Z76</f>
        <v/>
      </c>
      <c r="M75" s="3">
        <f>'Tariff Database'!AB76</f>
        <v/>
      </c>
      <c r="N75" s="3">
        <f>'Tariff Database'!I76</f>
        <v/>
      </c>
    </row>
    <row r="76">
      <c r="A76" s="3" t="n">
        <v>75</v>
      </c>
      <c r="B76" s="3">
        <f>'Tariff Database'!B77</f>
        <v/>
      </c>
      <c r="C76" s="3">
        <f>'Tariff Database'!C77</f>
        <v/>
      </c>
      <c r="D76" s="3">
        <f>'Tariff Database'!D77</f>
        <v/>
      </c>
      <c r="E76" s="3">
        <f>'Tariff Database'!E77</f>
        <v/>
      </c>
      <c r="F76" s="3">
        <f>'Tariff Database'!K77</f>
        <v/>
      </c>
      <c r="G76" s="3">
        <f>'Tariff Database'!L77</f>
        <v/>
      </c>
      <c r="H76" s="3">
        <f>'Tariff Database'!M77</f>
        <v/>
      </c>
      <c r="I76" s="3">
        <f>'Tariff Database'!N77</f>
        <v/>
      </c>
      <c r="J76" s="3">
        <f>'Tariff Database'!O77</f>
        <v/>
      </c>
      <c r="K76" s="3">
        <f>'Tariff Database'!Y77</f>
        <v/>
      </c>
      <c r="L76" s="3">
        <f>'Tariff Database'!Z77</f>
        <v/>
      </c>
      <c r="M76" s="3">
        <f>'Tariff Database'!AB77</f>
        <v/>
      </c>
      <c r="N76" s="3">
        <f>'Tariff Database'!I77</f>
        <v/>
      </c>
    </row>
    <row r="77">
      <c r="A77" s="3" t="n">
        <v>76</v>
      </c>
      <c r="B77" s="3">
        <f>'Tariff Database'!B78</f>
        <v/>
      </c>
      <c r="C77" s="3">
        <f>'Tariff Database'!C78</f>
        <v/>
      </c>
      <c r="D77" s="3">
        <f>'Tariff Database'!D78</f>
        <v/>
      </c>
      <c r="E77" s="3">
        <f>'Tariff Database'!E78</f>
        <v/>
      </c>
      <c r="F77" s="3">
        <f>'Tariff Database'!K78</f>
        <v/>
      </c>
      <c r="G77" s="3">
        <f>'Tariff Database'!L78</f>
        <v/>
      </c>
      <c r="H77" s="3">
        <f>'Tariff Database'!M78</f>
        <v/>
      </c>
      <c r="I77" s="3">
        <f>'Tariff Database'!N78</f>
        <v/>
      </c>
      <c r="J77" s="3">
        <f>'Tariff Database'!O78</f>
        <v/>
      </c>
      <c r="K77" s="3">
        <f>'Tariff Database'!Y78</f>
        <v/>
      </c>
      <c r="L77" s="3">
        <f>'Tariff Database'!Z78</f>
        <v/>
      </c>
      <c r="M77" s="3">
        <f>'Tariff Database'!AB78</f>
        <v/>
      </c>
      <c r="N77" s="3">
        <f>'Tariff Database'!I78</f>
        <v/>
      </c>
    </row>
    <row r="78">
      <c r="A78" s="3" t="n">
        <v>77</v>
      </c>
      <c r="B78" s="3">
        <f>'Tariff Database'!B79</f>
        <v/>
      </c>
      <c r="C78" s="3">
        <f>'Tariff Database'!C79</f>
        <v/>
      </c>
      <c r="D78" s="3">
        <f>'Tariff Database'!D79</f>
        <v/>
      </c>
      <c r="E78" s="3">
        <f>'Tariff Database'!E79</f>
        <v/>
      </c>
      <c r="F78" s="3">
        <f>'Tariff Database'!K79</f>
        <v/>
      </c>
      <c r="G78" s="3">
        <f>'Tariff Database'!L79</f>
        <v/>
      </c>
      <c r="H78" s="3">
        <f>'Tariff Database'!M79</f>
        <v/>
      </c>
      <c r="I78" s="3">
        <f>'Tariff Database'!N79</f>
        <v/>
      </c>
      <c r="J78" s="3">
        <f>'Tariff Database'!O79</f>
        <v/>
      </c>
      <c r="K78" s="3">
        <f>'Tariff Database'!Y79</f>
        <v/>
      </c>
      <c r="L78" s="3">
        <f>'Tariff Database'!Z79</f>
        <v/>
      </c>
      <c r="M78" s="3">
        <f>'Tariff Database'!AB79</f>
        <v/>
      </c>
      <c r="N78" s="3">
        <f>'Tariff Database'!I79</f>
        <v/>
      </c>
    </row>
    <row r="79">
      <c r="A79" s="3" t="n">
        <v>78</v>
      </c>
      <c r="B79" s="3">
        <f>'Tariff Database'!B80</f>
        <v/>
      </c>
      <c r="C79" s="3">
        <f>'Tariff Database'!C80</f>
        <v/>
      </c>
      <c r="D79" s="3">
        <f>'Tariff Database'!D80</f>
        <v/>
      </c>
      <c r="E79" s="3">
        <f>'Tariff Database'!E80</f>
        <v/>
      </c>
      <c r="F79" s="3">
        <f>'Tariff Database'!K80</f>
        <v/>
      </c>
      <c r="G79" s="3">
        <f>'Tariff Database'!L80</f>
        <v/>
      </c>
      <c r="H79" s="3">
        <f>'Tariff Database'!M80</f>
        <v/>
      </c>
      <c r="I79" s="3">
        <f>'Tariff Database'!N80</f>
        <v/>
      </c>
      <c r="J79" s="3">
        <f>'Tariff Database'!O80</f>
        <v/>
      </c>
      <c r="K79" s="3">
        <f>'Tariff Database'!Y80</f>
        <v/>
      </c>
      <c r="L79" s="3">
        <f>'Tariff Database'!Z80</f>
        <v/>
      </c>
      <c r="M79" s="3">
        <f>'Tariff Database'!AB80</f>
        <v/>
      </c>
      <c r="N79" s="3">
        <f>'Tariff Database'!I80</f>
        <v/>
      </c>
    </row>
    <row r="80">
      <c r="A80" s="3" t="n">
        <v>79</v>
      </c>
      <c r="B80" s="3">
        <f>'Tariff Database'!B81</f>
        <v/>
      </c>
      <c r="C80" s="3">
        <f>'Tariff Database'!C81</f>
        <v/>
      </c>
      <c r="D80" s="3">
        <f>'Tariff Database'!D81</f>
        <v/>
      </c>
      <c r="E80" s="3">
        <f>'Tariff Database'!E81</f>
        <v/>
      </c>
      <c r="F80" s="3">
        <f>'Tariff Database'!K81</f>
        <v/>
      </c>
      <c r="G80" s="3">
        <f>'Tariff Database'!L81</f>
        <v/>
      </c>
      <c r="H80" s="3">
        <f>'Tariff Database'!M81</f>
        <v/>
      </c>
      <c r="I80" s="3">
        <f>'Tariff Database'!N81</f>
        <v/>
      </c>
      <c r="J80" s="3">
        <f>'Tariff Database'!O81</f>
        <v/>
      </c>
      <c r="K80" s="3">
        <f>'Tariff Database'!Y81</f>
        <v/>
      </c>
      <c r="L80" s="3">
        <f>'Tariff Database'!Z81</f>
        <v/>
      </c>
      <c r="M80" s="3">
        <f>'Tariff Database'!AB81</f>
        <v/>
      </c>
      <c r="N80" s="3">
        <f>'Tariff Database'!I81</f>
        <v/>
      </c>
    </row>
    <row r="81">
      <c r="A81" s="3" t="n">
        <v>80</v>
      </c>
      <c r="B81" s="3">
        <f>'Tariff Database'!B82</f>
        <v/>
      </c>
      <c r="C81" s="3">
        <f>'Tariff Database'!C82</f>
        <v/>
      </c>
      <c r="D81" s="3">
        <f>'Tariff Database'!D82</f>
        <v/>
      </c>
      <c r="E81" s="3">
        <f>'Tariff Database'!E82</f>
        <v/>
      </c>
      <c r="F81" s="3">
        <f>'Tariff Database'!K82</f>
        <v/>
      </c>
      <c r="G81" s="3">
        <f>'Tariff Database'!L82</f>
        <v/>
      </c>
      <c r="H81" s="3">
        <f>'Tariff Database'!M82</f>
        <v/>
      </c>
      <c r="I81" s="3">
        <f>'Tariff Database'!N82</f>
        <v/>
      </c>
      <c r="J81" s="3">
        <f>'Tariff Database'!O82</f>
        <v/>
      </c>
      <c r="K81" s="3">
        <f>'Tariff Database'!Y82</f>
        <v/>
      </c>
      <c r="L81" s="3">
        <f>'Tariff Database'!Z82</f>
        <v/>
      </c>
      <c r="M81" s="3">
        <f>'Tariff Database'!AB82</f>
        <v/>
      </c>
      <c r="N81" s="3">
        <f>'Tariff Database'!I82</f>
        <v/>
      </c>
    </row>
    <row r="82">
      <c r="A82" s="3" t="n">
        <v>81</v>
      </c>
      <c r="B82" s="3">
        <f>'Tariff Database'!B83</f>
        <v/>
      </c>
      <c r="C82" s="3">
        <f>'Tariff Database'!C83</f>
        <v/>
      </c>
      <c r="D82" s="3">
        <f>'Tariff Database'!D83</f>
        <v/>
      </c>
      <c r="E82" s="3">
        <f>'Tariff Database'!E83</f>
        <v/>
      </c>
      <c r="F82" s="3">
        <f>'Tariff Database'!K83</f>
        <v/>
      </c>
      <c r="G82" s="3">
        <f>'Tariff Database'!L83</f>
        <v/>
      </c>
      <c r="H82" s="3">
        <f>'Tariff Database'!M83</f>
        <v/>
      </c>
      <c r="I82" s="3">
        <f>'Tariff Database'!N83</f>
        <v/>
      </c>
      <c r="J82" s="3">
        <f>'Tariff Database'!O83</f>
        <v/>
      </c>
      <c r="K82" s="3">
        <f>'Tariff Database'!Y83</f>
        <v/>
      </c>
      <c r="L82" s="3">
        <f>'Tariff Database'!Z83</f>
        <v/>
      </c>
      <c r="M82" s="3">
        <f>'Tariff Database'!AB83</f>
        <v/>
      </c>
      <c r="N82" s="3">
        <f>'Tariff Database'!I83</f>
        <v/>
      </c>
    </row>
    <row r="83">
      <c r="A83" s="3" t="n">
        <v>82</v>
      </c>
      <c r="B83" s="3">
        <f>'Tariff Database'!B84</f>
        <v/>
      </c>
      <c r="C83" s="3">
        <f>'Tariff Database'!C84</f>
        <v/>
      </c>
      <c r="D83" s="3">
        <f>'Tariff Database'!D84</f>
        <v/>
      </c>
      <c r="E83" s="3">
        <f>'Tariff Database'!E84</f>
        <v/>
      </c>
      <c r="F83" s="3">
        <f>'Tariff Database'!K84</f>
        <v/>
      </c>
      <c r="G83" s="3">
        <f>'Tariff Database'!L84</f>
        <v/>
      </c>
      <c r="H83" s="3">
        <f>'Tariff Database'!M84</f>
        <v/>
      </c>
      <c r="I83" s="3">
        <f>'Tariff Database'!N84</f>
        <v/>
      </c>
      <c r="J83" s="3">
        <f>'Tariff Database'!O84</f>
        <v/>
      </c>
      <c r="K83" s="3">
        <f>'Tariff Database'!Y84</f>
        <v/>
      </c>
      <c r="L83" s="3">
        <f>'Tariff Database'!Z84</f>
        <v/>
      </c>
      <c r="M83" s="3">
        <f>'Tariff Database'!AB84</f>
        <v/>
      </c>
      <c r="N83" s="3">
        <f>'Tariff Database'!I84</f>
        <v/>
      </c>
    </row>
    <row r="84">
      <c r="A84" s="3" t="n">
        <v>83</v>
      </c>
      <c r="B84" s="3">
        <f>'Tariff Database'!B85</f>
        <v/>
      </c>
      <c r="C84" s="3">
        <f>'Tariff Database'!C85</f>
        <v/>
      </c>
      <c r="D84" s="3">
        <f>'Tariff Database'!D85</f>
        <v/>
      </c>
      <c r="E84" s="3">
        <f>'Tariff Database'!E85</f>
        <v/>
      </c>
      <c r="F84" s="3">
        <f>'Tariff Database'!K85</f>
        <v/>
      </c>
      <c r="G84" s="3">
        <f>'Tariff Database'!L85</f>
        <v/>
      </c>
      <c r="H84" s="3">
        <f>'Tariff Database'!M85</f>
        <v/>
      </c>
      <c r="I84" s="3">
        <f>'Tariff Database'!N85</f>
        <v/>
      </c>
      <c r="J84" s="3">
        <f>'Tariff Database'!O85</f>
        <v/>
      </c>
      <c r="K84" s="3">
        <f>'Tariff Database'!Y85</f>
        <v/>
      </c>
      <c r="L84" s="3">
        <f>'Tariff Database'!Z85</f>
        <v/>
      </c>
      <c r="M84" s="3">
        <f>'Tariff Database'!AB85</f>
        <v/>
      </c>
      <c r="N84" s="3">
        <f>'Tariff Database'!I85</f>
        <v/>
      </c>
    </row>
    <row r="85">
      <c r="A85" s="3" t="n">
        <v>84</v>
      </c>
      <c r="B85" s="3">
        <f>'Tariff Database'!B86</f>
        <v/>
      </c>
      <c r="C85" s="3">
        <f>'Tariff Database'!C86</f>
        <v/>
      </c>
      <c r="D85" s="3">
        <f>'Tariff Database'!D86</f>
        <v/>
      </c>
      <c r="E85" s="3">
        <f>'Tariff Database'!E86</f>
        <v/>
      </c>
      <c r="F85" s="3">
        <f>'Tariff Database'!K86</f>
        <v/>
      </c>
      <c r="G85" s="3">
        <f>'Tariff Database'!L86</f>
        <v/>
      </c>
      <c r="H85" s="3">
        <f>'Tariff Database'!M86</f>
        <v/>
      </c>
      <c r="I85" s="3">
        <f>'Tariff Database'!N86</f>
        <v/>
      </c>
      <c r="J85" s="3">
        <f>'Tariff Database'!O86</f>
        <v/>
      </c>
      <c r="K85" s="3">
        <f>'Tariff Database'!Y86</f>
        <v/>
      </c>
      <c r="L85" s="3">
        <f>'Tariff Database'!Z86</f>
        <v/>
      </c>
      <c r="M85" s="3">
        <f>'Tariff Database'!AB86</f>
        <v/>
      </c>
      <c r="N85" s="3">
        <f>'Tariff Database'!I86</f>
        <v/>
      </c>
    </row>
    <row r="86">
      <c r="A86" s="3" t="n">
        <v>85</v>
      </c>
      <c r="B86" s="3">
        <f>'Tariff Database'!B87</f>
        <v/>
      </c>
      <c r="C86" s="3">
        <f>'Tariff Database'!C87</f>
        <v/>
      </c>
      <c r="D86" s="3">
        <f>'Tariff Database'!D87</f>
        <v/>
      </c>
      <c r="E86" s="3">
        <f>'Tariff Database'!E87</f>
        <v/>
      </c>
      <c r="F86" s="3">
        <f>'Tariff Database'!K87</f>
        <v/>
      </c>
      <c r="G86" s="3">
        <f>'Tariff Database'!L87</f>
        <v/>
      </c>
      <c r="H86" s="3">
        <f>'Tariff Database'!M87</f>
        <v/>
      </c>
      <c r="I86" s="3">
        <f>'Tariff Database'!N87</f>
        <v/>
      </c>
      <c r="J86" s="3">
        <f>'Tariff Database'!O87</f>
        <v/>
      </c>
      <c r="K86" s="3">
        <f>'Tariff Database'!Y87</f>
        <v/>
      </c>
      <c r="L86" s="3">
        <f>'Tariff Database'!Z87</f>
        <v/>
      </c>
      <c r="M86" s="3">
        <f>'Tariff Database'!AB87</f>
        <v/>
      </c>
      <c r="N86" s="3">
        <f>'Tariff Database'!I87</f>
        <v/>
      </c>
    </row>
    <row r="87">
      <c r="A87" s="3" t="n">
        <v>86</v>
      </c>
      <c r="B87" s="3">
        <f>'Tariff Database'!B88</f>
        <v/>
      </c>
      <c r="C87" s="3">
        <f>'Tariff Database'!C88</f>
        <v/>
      </c>
      <c r="D87" s="3">
        <f>'Tariff Database'!D88</f>
        <v/>
      </c>
      <c r="E87" s="3">
        <f>'Tariff Database'!E88</f>
        <v/>
      </c>
      <c r="F87" s="3">
        <f>'Tariff Database'!K88</f>
        <v/>
      </c>
      <c r="G87" s="3">
        <f>'Tariff Database'!L88</f>
        <v/>
      </c>
      <c r="H87" s="3">
        <f>'Tariff Database'!M88</f>
        <v/>
      </c>
      <c r="I87" s="3">
        <f>'Tariff Database'!N88</f>
        <v/>
      </c>
      <c r="J87" s="3">
        <f>'Tariff Database'!O88</f>
        <v/>
      </c>
      <c r="K87" s="3">
        <f>'Tariff Database'!Y88</f>
        <v/>
      </c>
      <c r="L87" s="3">
        <f>'Tariff Database'!Z88</f>
        <v/>
      </c>
      <c r="M87" s="3">
        <f>'Tariff Database'!AB88</f>
        <v/>
      </c>
      <c r="N87" s="3">
        <f>'Tariff Database'!I88</f>
        <v/>
      </c>
    </row>
    <row r="88">
      <c r="A88" s="3" t="n">
        <v>87</v>
      </c>
      <c r="B88" s="3">
        <f>'Tariff Database'!B89</f>
        <v/>
      </c>
      <c r="C88" s="3">
        <f>'Tariff Database'!C89</f>
        <v/>
      </c>
      <c r="D88" s="3">
        <f>'Tariff Database'!D89</f>
        <v/>
      </c>
      <c r="E88" s="3">
        <f>'Tariff Database'!E89</f>
        <v/>
      </c>
      <c r="F88" s="3">
        <f>'Tariff Database'!K89</f>
        <v/>
      </c>
      <c r="G88" s="3">
        <f>'Tariff Database'!L89</f>
        <v/>
      </c>
      <c r="H88" s="3">
        <f>'Tariff Database'!M89</f>
        <v/>
      </c>
      <c r="I88" s="3">
        <f>'Tariff Database'!N89</f>
        <v/>
      </c>
      <c r="J88" s="3">
        <f>'Tariff Database'!O89</f>
        <v/>
      </c>
      <c r="K88" s="3">
        <f>'Tariff Database'!Y89</f>
        <v/>
      </c>
      <c r="L88" s="3">
        <f>'Tariff Database'!Z89</f>
        <v/>
      </c>
      <c r="M88" s="3">
        <f>'Tariff Database'!AB89</f>
        <v/>
      </c>
      <c r="N88" s="3">
        <f>'Tariff Database'!I89</f>
        <v/>
      </c>
    </row>
    <row r="89">
      <c r="A89" s="3" t="n">
        <v>88</v>
      </c>
      <c r="B89" s="3">
        <f>'Tariff Database'!B90</f>
        <v/>
      </c>
      <c r="C89" s="3">
        <f>'Tariff Database'!C90</f>
        <v/>
      </c>
      <c r="D89" s="3">
        <f>'Tariff Database'!D90</f>
        <v/>
      </c>
      <c r="E89" s="3">
        <f>'Tariff Database'!E90</f>
        <v/>
      </c>
      <c r="F89" s="3">
        <f>'Tariff Database'!K90</f>
        <v/>
      </c>
      <c r="G89" s="3">
        <f>'Tariff Database'!L90</f>
        <v/>
      </c>
      <c r="H89" s="3">
        <f>'Tariff Database'!M90</f>
        <v/>
      </c>
      <c r="I89" s="3">
        <f>'Tariff Database'!N90</f>
        <v/>
      </c>
      <c r="J89" s="3">
        <f>'Tariff Database'!O90</f>
        <v/>
      </c>
      <c r="K89" s="3">
        <f>'Tariff Database'!Y90</f>
        <v/>
      </c>
      <c r="L89" s="3">
        <f>'Tariff Database'!Z90</f>
        <v/>
      </c>
      <c r="M89" s="3">
        <f>'Tariff Database'!AB90</f>
        <v/>
      </c>
      <c r="N89" s="3">
        <f>'Tariff Database'!I90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pane xSplit="2" ySplit="1" topLeftCell="C45" activePane="bottomRight" state="frozen"/>
      <selection pane="topRight" activeCell="A1" sqref="A1"/>
      <selection pane="bottomLeft" activeCell="A1" sqref="A1"/>
      <selection pane="bottomRight" activeCell="B61" sqref="B61"/>
    </sheetView>
  </sheetViews>
  <sheetFormatPr baseColWidth="10" defaultColWidth="8.83203125" defaultRowHeight="15"/>
  <cols>
    <col width="5" customWidth="1" min="1" max="1"/>
    <col width="35" customWidth="1" min="2" max="2"/>
    <col width="10" customWidth="1" min="3" max="6"/>
    <col width="6" customWidth="1" min="7" max="7"/>
    <col width="8" customWidth="1" min="8" max="13"/>
    <col width="6" customWidth="1" min="14" max="14"/>
    <col width="8" customWidth="1" min="15" max="15"/>
  </cols>
  <sheetData>
    <row r="1">
      <c r="A1" s="6" t="inlineStr">
        <is>
          <t>Rank</t>
        </is>
      </c>
      <c r="B1" s="6" t="inlineStr">
        <is>
          <t>Utility</t>
        </is>
      </c>
      <c r="C1" s="6" t="inlineStr">
        <is>
          <t>State</t>
        </is>
      </c>
      <c r="D1" s="6" t="inlineStr">
        <is>
          <t>Min Load (MW)</t>
        </is>
      </c>
      <c r="E1" s="6" t="inlineStr">
        <is>
          <t>Ratchet %</t>
        </is>
      </c>
      <c r="F1" s="6" t="inlineStr">
        <is>
          <t>Contract (Yrs)</t>
        </is>
      </c>
      <c r="G1" s="6" t="inlineStr">
        <is>
          <t>CIAC</t>
        </is>
      </c>
      <c r="H1" s="6" t="inlineStr">
        <is>
          <t>Take-or-Pay</t>
        </is>
      </c>
      <c r="I1" s="6" t="inlineStr">
        <is>
          <t>Exit Fee</t>
        </is>
      </c>
      <c r="J1" s="6" t="inlineStr">
        <is>
          <t>Demand Ratchet</t>
        </is>
      </c>
      <c r="K1" s="6" t="inlineStr">
        <is>
          <t>Credit Req</t>
        </is>
      </c>
      <c r="L1" s="6" t="inlineStr">
        <is>
          <t>DC Specific</t>
        </is>
      </c>
      <c r="M1" s="6" t="inlineStr">
        <is>
          <t>Collateral</t>
        </is>
      </c>
      <c r="N1" s="6" t="inlineStr">
        <is>
          <t>Score</t>
        </is>
      </c>
      <c r="O1" s="6" t="inlineStr">
        <is>
          <t>Rating</t>
        </is>
      </c>
    </row>
    <row r="2">
      <c r="A2" s="3" t="n">
        <v>1</v>
      </c>
      <c r="B2" s="3">
        <f>'Tariff Database'!B14</f>
        <v/>
      </c>
      <c r="C2" s="3">
        <f>'Tariff Database'!C14</f>
        <v/>
      </c>
      <c r="D2" s="3">
        <f>'Tariff Database'!J14</f>
        <v/>
      </c>
      <c r="E2" s="3">
        <f>'Tariff Database'!Q14</f>
        <v/>
      </c>
      <c r="F2" s="3">
        <f>'Tariff Database'!P14</f>
        <v/>
      </c>
      <c r="G2" s="3">
        <f>'Tariff Database'!S14</f>
        <v/>
      </c>
      <c r="H2" s="3">
        <f>'Tariff Database'!T14</f>
        <v/>
      </c>
      <c r="I2" s="3">
        <f>'Tariff Database'!U14</f>
        <v/>
      </c>
      <c r="J2" s="3">
        <f>'Tariff Database'!R14</f>
        <v/>
      </c>
      <c r="K2" s="3">
        <f>'Tariff Database'!V14</f>
        <v/>
      </c>
      <c r="L2" s="3">
        <f>'Tariff Database'!W14</f>
        <v/>
      </c>
      <c r="M2" s="3">
        <f>'Tariff Database'!X14</f>
        <v/>
      </c>
      <c r="N2" s="3">
        <f>'Tariff Database'!AA14</f>
        <v/>
      </c>
      <c r="O2" s="3">
        <f>'Tariff Database'!AB14</f>
        <v/>
      </c>
    </row>
    <row r="3">
      <c r="A3" s="3" t="n">
        <v>2</v>
      </c>
      <c r="B3" s="3">
        <f>'Tariff Database'!B19</f>
        <v/>
      </c>
      <c r="C3" s="3">
        <f>'Tariff Database'!C19</f>
        <v/>
      </c>
      <c r="D3" s="3">
        <f>'Tariff Database'!J19</f>
        <v/>
      </c>
      <c r="E3" s="3">
        <f>'Tariff Database'!Q19</f>
        <v/>
      </c>
      <c r="F3" s="3">
        <f>'Tariff Database'!P19</f>
        <v/>
      </c>
      <c r="G3" s="3">
        <f>'Tariff Database'!S19</f>
        <v/>
      </c>
      <c r="H3" s="3">
        <f>'Tariff Database'!T19</f>
        <v/>
      </c>
      <c r="I3" s="3">
        <f>'Tariff Database'!U19</f>
        <v/>
      </c>
      <c r="J3" s="3">
        <f>'Tariff Database'!R19</f>
        <v/>
      </c>
      <c r="K3" s="3">
        <f>'Tariff Database'!V19</f>
        <v/>
      </c>
      <c r="L3" s="3">
        <f>'Tariff Database'!W19</f>
        <v/>
      </c>
      <c r="M3" s="3">
        <f>'Tariff Database'!X19</f>
        <v/>
      </c>
      <c r="N3" s="3">
        <f>'Tariff Database'!AA19</f>
        <v/>
      </c>
      <c r="O3" s="3">
        <f>'Tariff Database'!AB19</f>
        <v/>
      </c>
    </row>
    <row r="4">
      <c r="A4" s="3" t="n">
        <v>3</v>
      </c>
      <c r="B4" s="3">
        <f>'Tariff Database'!B24</f>
        <v/>
      </c>
      <c r="C4" s="3">
        <f>'Tariff Database'!C24</f>
        <v/>
      </c>
      <c r="D4" s="3">
        <f>'Tariff Database'!J24</f>
        <v/>
      </c>
      <c r="E4" s="3">
        <f>'Tariff Database'!Q24</f>
        <v/>
      </c>
      <c r="F4" s="3">
        <f>'Tariff Database'!P24</f>
        <v/>
      </c>
      <c r="G4" s="3">
        <f>'Tariff Database'!S24</f>
        <v/>
      </c>
      <c r="H4" s="3">
        <f>'Tariff Database'!T24</f>
        <v/>
      </c>
      <c r="I4" s="3">
        <f>'Tariff Database'!U24</f>
        <v/>
      </c>
      <c r="J4" s="3">
        <f>'Tariff Database'!R24</f>
        <v/>
      </c>
      <c r="K4" s="3">
        <f>'Tariff Database'!V24</f>
        <v/>
      </c>
      <c r="L4" s="3">
        <f>'Tariff Database'!W24</f>
        <v/>
      </c>
      <c r="M4" s="3">
        <f>'Tariff Database'!X24</f>
        <v/>
      </c>
      <c r="N4" s="3">
        <f>'Tariff Database'!AA24</f>
        <v/>
      </c>
      <c r="O4" s="3">
        <f>'Tariff Database'!AB24</f>
        <v/>
      </c>
    </row>
    <row r="5">
      <c r="A5" s="3" t="n">
        <v>4</v>
      </c>
      <c r="B5" s="3">
        <f>'Tariff Database'!B38</f>
        <v/>
      </c>
      <c r="C5" s="3">
        <f>'Tariff Database'!C38</f>
        <v/>
      </c>
      <c r="D5" s="3">
        <f>'Tariff Database'!J38</f>
        <v/>
      </c>
      <c r="E5" s="3">
        <f>'Tariff Database'!Q38</f>
        <v/>
      </c>
      <c r="F5" s="3">
        <f>'Tariff Database'!P38</f>
        <v/>
      </c>
      <c r="G5" s="3">
        <f>'Tariff Database'!S38</f>
        <v/>
      </c>
      <c r="H5" s="3">
        <f>'Tariff Database'!T38</f>
        <v/>
      </c>
      <c r="I5" s="3">
        <f>'Tariff Database'!U38</f>
        <v/>
      </c>
      <c r="J5" s="3">
        <f>'Tariff Database'!R38</f>
        <v/>
      </c>
      <c r="K5" s="3">
        <f>'Tariff Database'!V38</f>
        <v/>
      </c>
      <c r="L5" s="3">
        <f>'Tariff Database'!W38</f>
        <v/>
      </c>
      <c r="M5" s="3">
        <f>'Tariff Database'!X38</f>
        <v/>
      </c>
      <c r="N5" s="3">
        <f>'Tariff Database'!AA38</f>
        <v/>
      </c>
      <c r="O5" s="3">
        <f>'Tariff Database'!AB38</f>
        <v/>
      </c>
    </row>
    <row r="6">
      <c r="A6" s="3" t="n">
        <v>5</v>
      </c>
      <c r="B6" s="3">
        <f>'Tariff Database'!B39</f>
        <v/>
      </c>
      <c r="C6" s="3">
        <f>'Tariff Database'!C39</f>
        <v/>
      </c>
      <c r="D6" s="3">
        <f>'Tariff Database'!J39</f>
        <v/>
      </c>
      <c r="E6" s="3">
        <f>'Tariff Database'!Q39</f>
        <v/>
      </c>
      <c r="F6" s="3">
        <f>'Tariff Database'!P39</f>
        <v/>
      </c>
      <c r="G6" s="3">
        <f>'Tariff Database'!S39</f>
        <v/>
      </c>
      <c r="H6" s="3">
        <f>'Tariff Database'!T39</f>
        <v/>
      </c>
      <c r="I6" s="3">
        <f>'Tariff Database'!U39</f>
        <v/>
      </c>
      <c r="J6" s="3">
        <f>'Tariff Database'!R39</f>
        <v/>
      </c>
      <c r="K6" s="3">
        <f>'Tariff Database'!V39</f>
        <v/>
      </c>
      <c r="L6" s="3">
        <f>'Tariff Database'!W39</f>
        <v/>
      </c>
      <c r="M6" s="3">
        <f>'Tariff Database'!X39</f>
        <v/>
      </c>
      <c r="N6" s="3">
        <f>'Tariff Database'!AA39</f>
        <v/>
      </c>
      <c r="O6" s="3">
        <f>'Tariff Database'!AB39</f>
        <v/>
      </c>
    </row>
    <row r="7">
      <c r="A7" s="3" t="n">
        <v>6</v>
      </c>
      <c r="B7" s="3">
        <f>'Tariff Database'!B44</f>
        <v/>
      </c>
      <c r="C7" s="3">
        <f>'Tariff Database'!C44</f>
        <v/>
      </c>
      <c r="D7" s="3">
        <f>'Tariff Database'!J44</f>
        <v/>
      </c>
      <c r="E7" s="3">
        <f>'Tariff Database'!Q44</f>
        <v/>
      </c>
      <c r="F7" s="3">
        <f>'Tariff Database'!P44</f>
        <v/>
      </c>
      <c r="G7" s="3">
        <f>'Tariff Database'!S44</f>
        <v/>
      </c>
      <c r="H7" s="3">
        <f>'Tariff Database'!T44</f>
        <v/>
      </c>
      <c r="I7" s="3">
        <f>'Tariff Database'!U44</f>
        <v/>
      </c>
      <c r="J7" s="3">
        <f>'Tariff Database'!R44</f>
        <v/>
      </c>
      <c r="K7" s="3">
        <f>'Tariff Database'!V44</f>
        <v/>
      </c>
      <c r="L7" s="3">
        <f>'Tariff Database'!W44</f>
        <v/>
      </c>
      <c r="M7" s="3">
        <f>'Tariff Database'!X44</f>
        <v/>
      </c>
      <c r="N7" s="3">
        <f>'Tariff Database'!AA44</f>
        <v/>
      </c>
      <c r="O7" s="3">
        <f>'Tariff Database'!AB44</f>
        <v/>
      </c>
    </row>
    <row r="8">
      <c r="A8" s="3" t="n">
        <v>7</v>
      </c>
      <c r="B8" s="3">
        <f>'Tariff Database'!B5</f>
        <v/>
      </c>
      <c r="C8" s="3">
        <f>'Tariff Database'!C5</f>
        <v/>
      </c>
      <c r="D8" s="3">
        <f>'Tariff Database'!J5</f>
        <v/>
      </c>
      <c r="E8" s="3">
        <f>'Tariff Database'!Q5</f>
        <v/>
      </c>
      <c r="F8" s="3">
        <f>'Tariff Database'!P5</f>
        <v/>
      </c>
      <c r="G8" s="3">
        <f>'Tariff Database'!S5</f>
        <v/>
      </c>
      <c r="H8" s="3">
        <f>'Tariff Database'!T5</f>
        <v/>
      </c>
      <c r="I8" s="3">
        <f>'Tariff Database'!U5</f>
        <v/>
      </c>
      <c r="J8" s="3">
        <f>'Tariff Database'!R5</f>
        <v/>
      </c>
      <c r="K8" s="3">
        <f>'Tariff Database'!V5</f>
        <v/>
      </c>
      <c r="L8" s="3">
        <f>'Tariff Database'!W5</f>
        <v/>
      </c>
      <c r="M8" s="3">
        <f>'Tariff Database'!X5</f>
        <v/>
      </c>
      <c r="N8" s="3">
        <f>'Tariff Database'!AA5</f>
        <v/>
      </c>
      <c r="O8" s="3">
        <f>'Tariff Database'!AB5</f>
        <v/>
      </c>
    </row>
    <row r="9">
      <c r="A9" s="3" t="n">
        <v>8</v>
      </c>
      <c r="B9" s="3">
        <f>'Tariff Database'!B13</f>
        <v/>
      </c>
      <c r="C9" s="3">
        <f>'Tariff Database'!C13</f>
        <v/>
      </c>
      <c r="D9" s="3">
        <f>'Tariff Database'!J13</f>
        <v/>
      </c>
      <c r="E9" s="3">
        <f>'Tariff Database'!Q13</f>
        <v/>
      </c>
      <c r="F9" s="3">
        <f>'Tariff Database'!P13</f>
        <v/>
      </c>
      <c r="G9" s="3">
        <f>'Tariff Database'!S13</f>
        <v/>
      </c>
      <c r="H9" s="3">
        <f>'Tariff Database'!T13</f>
        <v/>
      </c>
      <c r="I9" s="3">
        <f>'Tariff Database'!U13</f>
        <v/>
      </c>
      <c r="J9" s="3">
        <f>'Tariff Database'!R13</f>
        <v/>
      </c>
      <c r="K9" s="3">
        <f>'Tariff Database'!V13</f>
        <v/>
      </c>
      <c r="L9" s="3">
        <f>'Tariff Database'!W13</f>
        <v/>
      </c>
      <c r="M9" s="3">
        <f>'Tariff Database'!X13</f>
        <v/>
      </c>
      <c r="N9" s="3">
        <f>'Tariff Database'!AA13</f>
        <v/>
      </c>
      <c r="O9" s="3">
        <f>'Tariff Database'!AB13</f>
        <v/>
      </c>
    </row>
    <row r="10">
      <c r="A10" s="3" t="n">
        <v>9</v>
      </c>
      <c r="B10" s="3">
        <f>'Tariff Database'!B30</f>
        <v/>
      </c>
      <c r="C10" s="3">
        <f>'Tariff Database'!C30</f>
        <v/>
      </c>
      <c r="D10" s="3">
        <f>'Tariff Database'!J30</f>
        <v/>
      </c>
      <c r="E10" s="3">
        <f>'Tariff Database'!Q30</f>
        <v/>
      </c>
      <c r="F10" s="3">
        <f>'Tariff Database'!P30</f>
        <v/>
      </c>
      <c r="G10" s="3">
        <f>'Tariff Database'!S30</f>
        <v/>
      </c>
      <c r="H10" s="3">
        <f>'Tariff Database'!T30</f>
        <v/>
      </c>
      <c r="I10" s="3">
        <f>'Tariff Database'!U30</f>
        <v/>
      </c>
      <c r="J10" s="3">
        <f>'Tariff Database'!R30</f>
        <v/>
      </c>
      <c r="K10" s="3">
        <f>'Tariff Database'!V30</f>
        <v/>
      </c>
      <c r="L10" s="3">
        <f>'Tariff Database'!W30</f>
        <v/>
      </c>
      <c r="M10" s="3">
        <f>'Tariff Database'!X30</f>
        <v/>
      </c>
      <c r="N10" s="3">
        <f>'Tariff Database'!AA30</f>
        <v/>
      </c>
      <c r="O10" s="3">
        <f>'Tariff Database'!AB30</f>
        <v/>
      </c>
    </row>
    <row r="11">
      <c r="A11" s="3" t="n">
        <v>10</v>
      </c>
      <c r="B11" s="3">
        <f>'Tariff Database'!B37</f>
        <v/>
      </c>
      <c r="C11" s="3">
        <f>'Tariff Database'!C37</f>
        <v/>
      </c>
      <c r="D11" s="3">
        <f>'Tariff Database'!J37</f>
        <v/>
      </c>
      <c r="E11" s="3">
        <f>'Tariff Database'!Q37</f>
        <v/>
      </c>
      <c r="F11" s="3">
        <f>'Tariff Database'!P37</f>
        <v/>
      </c>
      <c r="G11" s="3">
        <f>'Tariff Database'!S37</f>
        <v/>
      </c>
      <c r="H11" s="3">
        <f>'Tariff Database'!T37</f>
        <v/>
      </c>
      <c r="I11" s="3">
        <f>'Tariff Database'!U37</f>
        <v/>
      </c>
      <c r="J11" s="3">
        <f>'Tariff Database'!R37</f>
        <v/>
      </c>
      <c r="K11" s="3">
        <f>'Tariff Database'!V37</f>
        <v/>
      </c>
      <c r="L11" s="3">
        <f>'Tariff Database'!W37</f>
        <v/>
      </c>
      <c r="M11" s="3">
        <f>'Tariff Database'!X37</f>
        <v/>
      </c>
      <c r="N11" s="3">
        <f>'Tariff Database'!AA37</f>
        <v/>
      </c>
      <c r="O11" s="3">
        <f>'Tariff Database'!AB37</f>
        <v/>
      </c>
    </row>
    <row r="12">
      <c r="A12" s="3" t="n">
        <v>11</v>
      </c>
      <c r="B12" s="3">
        <f>'Tariff Database'!B40</f>
        <v/>
      </c>
      <c r="C12" s="3">
        <f>'Tariff Database'!C40</f>
        <v/>
      </c>
      <c r="D12" s="3">
        <f>'Tariff Database'!J40</f>
        <v/>
      </c>
      <c r="E12" s="3">
        <f>'Tariff Database'!Q40</f>
        <v/>
      </c>
      <c r="F12" s="3">
        <f>'Tariff Database'!P40</f>
        <v/>
      </c>
      <c r="G12" s="3">
        <f>'Tariff Database'!S40</f>
        <v/>
      </c>
      <c r="H12" s="3">
        <f>'Tariff Database'!T40</f>
        <v/>
      </c>
      <c r="I12" s="3">
        <f>'Tariff Database'!U40</f>
        <v/>
      </c>
      <c r="J12" s="3">
        <f>'Tariff Database'!R40</f>
        <v/>
      </c>
      <c r="K12" s="3">
        <f>'Tariff Database'!V40</f>
        <v/>
      </c>
      <c r="L12" s="3">
        <f>'Tariff Database'!W40</f>
        <v/>
      </c>
      <c r="M12" s="3">
        <f>'Tariff Database'!X40</f>
        <v/>
      </c>
      <c r="N12" s="3">
        <f>'Tariff Database'!AA40</f>
        <v/>
      </c>
      <c r="O12" s="3">
        <f>'Tariff Database'!AB40</f>
        <v/>
      </c>
    </row>
    <row r="13">
      <c r="A13" s="3" t="n">
        <v>12</v>
      </c>
      <c r="B13" s="3">
        <f>'Tariff Database'!B43</f>
        <v/>
      </c>
      <c r="C13" s="3">
        <f>'Tariff Database'!C43</f>
        <v/>
      </c>
      <c r="D13" s="3">
        <f>'Tariff Database'!J43</f>
        <v/>
      </c>
      <c r="E13" s="3">
        <f>'Tariff Database'!Q43</f>
        <v/>
      </c>
      <c r="F13" s="3">
        <f>'Tariff Database'!P43</f>
        <v/>
      </c>
      <c r="G13" s="3">
        <f>'Tariff Database'!S43</f>
        <v/>
      </c>
      <c r="H13" s="3">
        <f>'Tariff Database'!T43</f>
        <v/>
      </c>
      <c r="I13" s="3">
        <f>'Tariff Database'!U43</f>
        <v/>
      </c>
      <c r="J13" s="3">
        <f>'Tariff Database'!R43</f>
        <v/>
      </c>
      <c r="K13" s="3">
        <f>'Tariff Database'!V43</f>
        <v/>
      </c>
      <c r="L13" s="3">
        <f>'Tariff Database'!W43</f>
        <v/>
      </c>
      <c r="M13" s="3">
        <f>'Tariff Database'!X43</f>
        <v/>
      </c>
      <c r="N13" s="3">
        <f>'Tariff Database'!AA43</f>
        <v/>
      </c>
      <c r="O13" s="3">
        <f>'Tariff Database'!AB43</f>
        <v/>
      </c>
    </row>
    <row r="14">
      <c r="A14" s="3" t="n">
        <v>13</v>
      </c>
      <c r="B14" s="3">
        <f>'Tariff Database'!B22</f>
        <v/>
      </c>
      <c r="C14" s="3">
        <f>'Tariff Database'!C22</f>
        <v/>
      </c>
      <c r="D14" s="3">
        <f>'Tariff Database'!J22</f>
        <v/>
      </c>
      <c r="E14" s="3">
        <f>'Tariff Database'!Q22</f>
        <v/>
      </c>
      <c r="F14" s="3">
        <f>'Tariff Database'!P22</f>
        <v/>
      </c>
      <c r="G14" s="3">
        <f>'Tariff Database'!S22</f>
        <v/>
      </c>
      <c r="H14" s="3">
        <f>'Tariff Database'!T22</f>
        <v/>
      </c>
      <c r="I14" s="3">
        <f>'Tariff Database'!U22</f>
        <v/>
      </c>
      <c r="J14" s="3">
        <f>'Tariff Database'!R22</f>
        <v/>
      </c>
      <c r="K14" s="3">
        <f>'Tariff Database'!V22</f>
        <v/>
      </c>
      <c r="L14" s="3">
        <f>'Tariff Database'!W22</f>
        <v/>
      </c>
      <c r="M14" s="3">
        <f>'Tariff Database'!X22</f>
        <v/>
      </c>
      <c r="N14" s="3">
        <f>'Tariff Database'!AA22</f>
        <v/>
      </c>
      <c r="O14" s="3">
        <f>'Tariff Database'!AB22</f>
        <v/>
      </c>
    </row>
    <row r="15">
      <c r="A15" s="3" t="n">
        <v>14</v>
      </c>
      <c r="B15" s="3">
        <f>'Tariff Database'!B23</f>
        <v/>
      </c>
      <c r="C15" s="3">
        <f>'Tariff Database'!C23</f>
        <v/>
      </c>
      <c r="D15" s="3">
        <f>'Tariff Database'!J23</f>
        <v/>
      </c>
      <c r="E15" s="3">
        <f>'Tariff Database'!Q23</f>
        <v/>
      </c>
      <c r="F15" s="3">
        <f>'Tariff Database'!P23</f>
        <v/>
      </c>
      <c r="G15" s="3">
        <f>'Tariff Database'!S23</f>
        <v/>
      </c>
      <c r="H15" s="3">
        <f>'Tariff Database'!T23</f>
        <v/>
      </c>
      <c r="I15" s="3">
        <f>'Tariff Database'!U23</f>
        <v/>
      </c>
      <c r="J15" s="3">
        <f>'Tariff Database'!R23</f>
        <v/>
      </c>
      <c r="K15" s="3">
        <f>'Tariff Database'!V23</f>
        <v/>
      </c>
      <c r="L15" s="3">
        <f>'Tariff Database'!W23</f>
        <v/>
      </c>
      <c r="M15" s="3">
        <f>'Tariff Database'!X23</f>
        <v/>
      </c>
      <c r="N15" s="3">
        <f>'Tariff Database'!AA23</f>
        <v/>
      </c>
      <c r="O15" s="3">
        <f>'Tariff Database'!AB23</f>
        <v/>
      </c>
    </row>
    <row r="16">
      <c r="A16" s="3" t="n">
        <v>15</v>
      </c>
      <c r="B16" s="3">
        <f>'Tariff Database'!B41</f>
        <v/>
      </c>
      <c r="C16" s="3">
        <f>'Tariff Database'!C41</f>
        <v/>
      </c>
      <c r="D16" s="3">
        <f>'Tariff Database'!J41</f>
        <v/>
      </c>
      <c r="E16" s="3">
        <f>'Tariff Database'!Q41</f>
        <v/>
      </c>
      <c r="F16" s="3">
        <f>'Tariff Database'!P41</f>
        <v/>
      </c>
      <c r="G16" s="3">
        <f>'Tariff Database'!S41</f>
        <v/>
      </c>
      <c r="H16" s="3">
        <f>'Tariff Database'!T41</f>
        <v/>
      </c>
      <c r="I16" s="3">
        <f>'Tariff Database'!U41</f>
        <v/>
      </c>
      <c r="J16" s="3">
        <f>'Tariff Database'!R41</f>
        <v/>
      </c>
      <c r="K16" s="3">
        <f>'Tariff Database'!V41</f>
        <v/>
      </c>
      <c r="L16" s="3">
        <f>'Tariff Database'!W41</f>
        <v/>
      </c>
      <c r="M16" s="3">
        <f>'Tariff Database'!X41</f>
        <v/>
      </c>
      <c r="N16" s="3">
        <f>'Tariff Database'!AA41</f>
        <v/>
      </c>
      <c r="O16" s="3">
        <f>'Tariff Database'!AB41</f>
        <v/>
      </c>
    </row>
    <row r="17">
      <c r="A17" s="3" t="n">
        <v>16</v>
      </c>
      <c r="B17" s="3">
        <f>'Tariff Database'!B52</f>
        <v/>
      </c>
      <c r="C17" s="3">
        <f>'Tariff Database'!C52</f>
        <v/>
      </c>
      <c r="D17" s="3">
        <f>'Tariff Database'!J52</f>
        <v/>
      </c>
      <c r="E17" s="3">
        <f>'Tariff Database'!Q52</f>
        <v/>
      </c>
      <c r="F17" s="3">
        <f>'Tariff Database'!P52</f>
        <v/>
      </c>
      <c r="G17" s="3">
        <f>'Tariff Database'!S52</f>
        <v/>
      </c>
      <c r="H17" s="3">
        <f>'Tariff Database'!T52</f>
        <v/>
      </c>
      <c r="I17" s="3">
        <f>'Tariff Database'!U52</f>
        <v/>
      </c>
      <c r="J17" s="3">
        <f>'Tariff Database'!R52</f>
        <v/>
      </c>
      <c r="K17" s="3">
        <f>'Tariff Database'!V52</f>
        <v/>
      </c>
      <c r="L17" s="3">
        <f>'Tariff Database'!W52</f>
        <v/>
      </c>
      <c r="M17" s="3">
        <f>'Tariff Database'!X52</f>
        <v/>
      </c>
      <c r="N17" s="3">
        <f>'Tariff Database'!AA52</f>
        <v/>
      </c>
      <c r="O17" s="3">
        <f>'Tariff Database'!AB52</f>
        <v/>
      </c>
    </row>
    <row r="18">
      <c r="A18" s="3" t="n">
        <v>17</v>
      </c>
      <c r="B18" s="3">
        <f>'Tariff Database'!B11</f>
        <v/>
      </c>
      <c r="C18" s="3">
        <f>'Tariff Database'!C11</f>
        <v/>
      </c>
      <c r="D18" s="3">
        <f>'Tariff Database'!J11</f>
        <v/>
      </c>
      <c r="E18" s="3">
        <f>'Tariff Database'!Q11</f>
        <v/>
      </c>
      <c r="F18" s="3">
        <f>'Tariff Database'!P11</f>
        <v/>
      </c>
      <c r="G18" s="3">
        <f>'Tariff Database'!S11</f>
        <v/>
      </c>
      <c r="H18" s="3">
        <f>'Tariff Database'!T11</f>
        <v/>
      </c>
      <c r="I18" s="3">
        <f>'Tariff Database'!U11</f>
        <v/>
      </c>
      <c r="J18" s="3">
        <f>'Tariff Database'!R11</f>
        <v/>
      </c>
      <c r="K18" s="3">
        <f>'Tariff Database'!V11</f>
        <v/>
      </c>
      <c r="L18" s="3">
        <f>'Tariff Database'!W11</f>
        <v/>
      </c>
      <c r="M18" s="3">
        <f>'Tariff Database'!X11</f>
        <v/>
      </c>
      <c r="N18" s="3">
        <f>'Tariff Database'!AA11</f>
        <v/>
      </c>
      <c r="O18" s="3">
        <f>'Tariff Database'!AB11</f>
        <v/>
      </c>
    </row>
    <row r="19">
      <c r="A19" s="3" t="n">
        <v>18</v>
      </c>
      <c r="B19" s="3">
        <f>'Tariff Database'!B3</f>
        <v/>
      </c>
      <c r="C19" s="3">
        <f>'Tariff Database'!C3</f>
        <v/>
      </c>
      <c r="D19" s="3">
        <f>'Tariff Database'!J3</f>
        <v/>
      </c>
      <c r="E19" s="3">
        <f>'Tariff Database'!Q3</f>
        <v/>
      </c>
      <c r="F19" s="3">
        <f>'Tariff Database'!P3</f>
        <v/>
      </c>
      <c r="G19" s="3">
        <f>'Tariff Database'!S3</f>
        <v/>
      </c>
      <c r="H19" s="3">
        <f>'Tariff Database'!T3</f>
        <v/>
      </c>
      <c r="I19" s="3">
        <f>'Tariff Database'!U3</f>
        <v/>
      </c>
      <c r="J19" s="3">
        <f>'Tariff Database'!R3</f>
        <v/>
      </c>
      <c r="K19" s="3">
        <f>'Tariff Database'!V3</f>
        <v/>
      </c>
      <c r="L19" s="3">
        <f>'Tariff Database'!W3</f>
        <v/>
      </c>
      <c r="M19" s="3">
        <f>'Tariff Database'!X3</f>
        <v/>
      </c>
      <c r="N19" s="3">
        <f>'Tariff Database'!AA3</f>
        <v/>
      </c>
      <c r="O19" s="3">
        <f>'Tariff Database'!AB3</f>
        <v/>
      </c>
    </row>
    <row r="20">
      <c r="A20" s="3" t="n">
        <v>19</v>
      </c>
      <c r="B20" s="3">
        <f>'Tariff Database'!B25</f>
        <v/>
      </c>
      <c r="C20" s="3">
        <f>'Tariff Database'!C25</f>
        <v/>
      </c>
      <c r="D20" s="3">
        <f>'Tariff Database'!J25</f>
        <v/>
      </c>
      <c r="E20" s="3">
        <f>'Tariff Database'!Q25</f>
        <v/>
      </c>
      <c r="F20" s="3">
        <f>'Tariff Database'!P25</f>
        <v/>
      </c>
      <c r="G20" s="3">
        <f>'Tariff Database'!S25</f>
        <v/>
      </c>
      <c r="H20" s="3">
        <f>'Tariff Database'!T25</f>
        <v/>
      </c>
      <c r="I20" s="3">
        <f>'Tariff Database'!U25</f>
        <v/>
      </c>
      <c r="J20" s="3">
        <f>'Tariff Database'!R25</f>
        <v/>
      </c>
      <c r="K20" s="3">
        <f>'Tariff Database'!V25</f>
        <v/>
      </c>
      <c r="L20" s="3">
        <f>'Tariff Database'!W25</f>
        <v/>
      </c>
      <c r="M20" s="3">
        <f>'Tariff Database'!X25</f>
        <v/>
      </c>
      <c r="N20" s="3">
        <f>'Tariff Database'!AA25</f>
        <v/>
      </c>
      <c r="O20" s="3">
        <f>'Tariff Database'!AB25</f>
        <v/>
      </c>
    </row>
    <row r="21">
      <c r="A21" s="3" t="n">
        <v>20</v>
      </c>
      <c r="B21" s="3">
        <f>'Tariff Database'!B6</f>
        <v/>
      </c>
      <c r="C21" s="3">
        <f>'Tariff Database'!C6</f>
        <v/>
      </c>
      <c r="D21" s="3">
        <f>'Tariff Database'!J6</f>
        <v/>
      </c>
      <c r="E21" s="3">
        <f>'Tariff Database'!Q6</f>
        <v/>
      </c>
      <c r="F21" s="3">
        <f>'Tariff Database'!P6</f>
        <v/>
      </c>
      <c r="G21" s="3">
        <f>'Tariff Database'!S6</f>
        <v/>
      </c>
      <c r="H21" s="3">
        <f>'Tariff Database'!T6</f>
        <v/>
      </c>
      <c r="I21" s="3">
        <f>'Tariff Database'!U6</f>
        <v/>
      </c>
      <c r="J21" s="3">
        <f>'Tariff Database'!R6</f>
        <v/>
      </c>
      <c r="K21" s="3">
        <f>'Tariff Database'!V6</f>
        <v/>
      </c>
      <c r="L21" s="3">
        <f>'Tariff Database'!W6</f>
        <v/>
      </c>
      <c r="M21" s="3">
        <f>'Tariff Database'!X6</f>
        <v/>
      </c>
      <c r="N21" s="3">
        <f>'Tariff Database'!AA6</f>
        <v/>
      </c>
      <c r="O21" s="3">
        <f>'Tariff Database'!AB6</f>
        <v/>
      </c>
    </row>
    <row r="22">
      <c r="A22" s="3" t="n">
        <v>21</v>
      </c>
      <c r="B22" s="3">
        <f>'Tariff Database'!B12</f>
        <v/>
      </c>
      <c r="C22" s="3">
        <f>'Tariff Database'!C12</f>
        <v/>
      </c>
      <c r="D22" s="3">
        <f>'Tariff Database'!J12</f>
        <v/>
      </c>
      <c r="E22" s="3">
        <f>'Tariff Database'!Q12</f>
        <v/>
      </c>
      <c r="F22" s="3">
        <f>'Tariff Database'!P12</f>
        <v/>
      </c>
      <c r="G22" s="3">
        <f>'Tariff Database'!S12</f>
        <v/>
      </c>
      <c r="H22" s="3">
        <f>'Tariff Database'!T12</f>
        <v/>
      </c>
      <c r="I22" s="3">
        <f>'Tariff Database'!U12</f>
        <v/>
      </c>
      <c r="J22" s="3">
        <f>'Tariff Database'!R12</f>
        <v/>
      </c>
      <c r="K22" s="3">
        <f>'Tariff Database'!V12</f>
        <v/>
      </c>
      <c r="L22" s="3">
        <f>'Tariff Database'!W12</f>
        <v/>
      </c>
      <c r="M22" s="3">
        <f>'Tariff Database'!X12</f>
        <v/>
      </c>
      <c r="N22" s="3">
        <f>'Tariff Database'!AA12</f>
        <v/>
      </c>
      <c r="O22" s="3">
        <f>'Tariff Database'!AB12</f>
        <v/>
      </c>
    </row>
    <row r="23">
      <c r="A23" s="3" t="n">
        <v>22</v>
      </c>
      <c r="B23" s="3">
        <f>'Tariff Database'!B15</f>
        <v/>
      </c>
      <c r="C23" s="3">
        <f>'Tariff Database'!C15</f>
        <v/>
      </c>
      <c r="D23" s="3">
        <f>'Tariff Database'!J15</f>
        <v/>
      </c>
      <c r="E23" s="3">
        <f>'Tariff Database'!Q15</f>
        <v/>
      </c>
      <c r="F23" s="3">
        <f>'Tariff Database'!P15</f>
        <v/>
      </c>
      <c r="G23" s="3">
        <f>'Tariff Database'!S15</f>
        <v/>
      </c>
      <c r="H23" s="3">
        <f>'Tariff Database'!T15</f>
        <v/>
      </c>
      <c r="I23" s="3">
        <f>'Tariff Database'!U15</f>
        <v/>
      </c>
      <c r="J23" s="3">
        <f>'Tariff Database'!R15</f>
        <v/>
      </c>
      <c r="K23" s="3">
        <f>'Tariff Database'!V15</f>
        <v/>
      </c>
      <c r="L23" s="3">
        <f>'Tariff Database'!W15</f>
        <v/>
      </c>
      <c r="M23" s="3">
        <f>'Tariff Database'!X15</f>
        <v/>
      </c>
      <c r="N23" s="3">
        <f>'Tariff Database'!AA15</f>
        <v/>
      </c>
      <c r="O23" s="3">
        <f>'Tariff Database'!AB15</f>
        <v/>
      </c>
    </row>
    <row r="24">
      <c r="A24" s="3" t="n">
        <v>23</v>
      </c>
      <c r="B24" s="3">
        <f>'Tariff Database'!B16</f>
        <v/>
      </c>
      <c r="C24" s="3">
        <f>'Tariff Database'!C16</f>
        <v/>
      </c>
      <c r="D24" s="3">
        <f>'Tariff Database'!J16</f>
        <v/>
      </c>
      <c r="E24" s="3">
        <f>'Tariff Database'!Q16</f>
        <v/>
      </c>
      <c r="F24" s="3">
        <f>'Tariff Database'!P16</f>
        <v/>
      </c>
      <c r="G24" s="3">
        <f>'Tariff Database'!S16</f>
        <v/>
      </c>
      <c r="H24" s="3">
        <f>'Tariff Database'!T16</f>
        <v/>
      </c>
      <c r="I24" s="3">
        <f>'Tariff Database'!U16</f>
        <v/>
      </c>
      <c r="J24" s="3">
        <f>'Tariff Database'!R16</f>
        <v/>
      </c>
      <c r="K24" s="3">
        <f>'Tariff Database'!V16</f>
        <v/>
      </c>
      <c r="L24" s="3">
        <f>'Tariff Database'!W16</f>
        <v/>
      </c>
      <c r="M24" s="3">
        <f>'Tariff Database'!X16</f>
        <v/>
      </c>
      <c r="N24" s="3">
        <f>'Tariff Database'!AA16</f>
        <v/>
      </c>
      <c r="O24" s="3">
        <f>'Tariff Database'!AB16</f>
        <v/>
      </c>
    </row>
    <row r="25">
      <c r="A25" s="3" t="n">
        <v>24</v>
      </c>
      <c r="B25" s="3">
        <f>'Tariff Database'!B53</f>
        <v/>
      </c>
      <c r="C25" s="3">
        <f>'Tariff Database'!C53</f>
        <v/>
      </c>
      <c r="D25" s="3">
        <f>'Tariff Database'!J53</f>
        <v/>
      </c>
      <c r="E25" s="3">
        <f>'Tariff Database'!Q53</f>
        <v/>
      </c>
      <c r="F25" s="3">
        <f>'Tariff Database'!P53</f>
        <v/>
      </c>
      <c r="G25" s="3">
        <f>'Tariff Database'!S53</f>
        <v/>
      </c>
      <c r="H25" s="3">
        <f>'Tariff Database'!T53</f>
        <v/>
      </c>
      <c r="I25" s="3">
        <f>'Tariff Database'!U53</f>
        <v/>
      </c>
      <c r="J25" s="3">
        <f>'Tariff Database'!R53</f>
        <v/>
      </c>
      <c r="K25" s="3">
        <f>'Tariff Database'!V53</f>
        <v/>
      </c>
      <c r="L25" s="3">
        <f>'Tariff Database'!W53</f>
        <v/>
      </c>
      <c r="M25" s="3">
        <f>'Tariff Database'!X53</f>
        <v/>
      </c>
      <c r="N25" s="3">
        <f>'Tariff Database'!AA53</f>
        <v/>
      </c>
      <c r="O25" s="3">
        <f>'Tariff Database'!AB53</f>
        <v/>
      </c>
    </row>
    <row r="26">
      <c r="A26" s="3" t="n">
        <v>25</v>
      </c>
      <c r="B26" s="3">
        <f>'Tariff Database'!B64</f>
        <v/>
      </c>
      <c r="C26" s="3">
        <f>'Tariff Database'!C64</f>
        <v/>
      </c>
      <c r="D26" s="3">
        <f>'Tariff Database'!J64</f>
        <v/>
      </c>
      <c r="E26" s="3">
        <f>'Tariff Database'!Q64</f>
        <v/>
      </c>
      <c r="F26" s="3">
        <f>'Tariff Database'!P64</f>
        <v/>
      </c>
      <c r="G26" s="3">
        <f>'Tariff Database'!S64</f>
        <v/>
      </c>
      <c r="H26" s="3">
        <f>'Tariff Database'!T64</f>
        <v/>
      </c>
      <c r="I26" s="3">
        <f>'Tariff Database'!U64</f>
        <v/>
      </c>
      <c r="J26" s="3">
        <f>'Tariff Database'!R64</f>
        <v/>
      </c>
      <c r="K26" s="3">
        <f>'Tariff Database'!V64</f>
        <v/>
      </c>
      <c r="L26" s="3">
        <f>'Tariff Database'!W64</f>
        <v/>
      </c>
      <c r="M26" s="3">
        <f>'Tariff Database'!X64</f>
        <v/>
      </c>
      <c r="N26" s="3">
        <f>'Tariff Database'!AA64</f>
        <v/>
      </c>
      <c r="O26" s="3">
        <f>'Tariff Database'!AB64</f>
        <v/>
      </c>
    </row>
    <row r="27">
      <c r="A27" s="3" t="n">
        <v>26</v>
      </c>
      <c r="B27" s="3">
        <f>'Tariff Database'!B9</f>
        <v/>
      </c>
      <c r="C27" s="3">
        <f>'Tariff Database'!C9</f>
        <v/>
      </c>
      <c r="D27" s="3">
        <f>'Tariff Database'!J9</f>
        <v/>
      </c>
      <c r="E27" s="3">
        <f>'Tariff Database'!Q9</f>
        <v/>
      </c>
      <c r="F27" s="3">
        <f>'Tariff Database'!P9</f>
        <v/>
      </c>
      <c r="G27" s="3">
        <f>'Tariff Database'!S9</f>
        <v/>
      </c>
      <c r="H27" s="3">
        <f>'Tariff Database'!T9</f>
        <v/>
      </c>
      <c r="I27" s="3">
        <f>'Tariff Database'!U9</f>
        <v/>
      </c>
      <c r="J27" s="3">
        <f>'Tariff Database'!R9</f>
        <v/>
      </c>
      <c r="K27" s="3">
        <f>'Tariff Database'!V9</f>
        <v/>
      </c>
      <c r="L27" s="3">
        <f>'Tariff Database'!W9</f>
        <v/>
      </c>
      <c r="M27" s="3">
        <f>'Tariff Database'!X9</f>
        <v/>
      </c>
      <c r="N27" s="3">
        <f>'Tariff Database'!AA9</f>
        <v/>
      </c>
      <c r="O27" s="3">
        <f>'Tariff Database'!AB9</f>
        <v/>
      </c>
    </row>
    <row r="28">
      <c r="A28" s="3" t="n">
        <v>27</v>
      </c>
      <c r="B28" s="3">
        <f>'Tariff Database'!B10</f>
        <v/>
      </c>
      <c r="C28" s="3">
        <f>'Tariff Database'!C10</f>
        <v/>
      </c>
      <c r="D28" s="3">
        <f>'Tariff Database'!J10</f>
        <v/>
      </c>
      <c r="E28" s="3">
        <f>'Tariff Database'!Q10</f>
        <v/>
      </c>
      <c r="F28" s="3">
        <f>'Tariff Database'!P10</f>
        <v/>
      </c>
      <c r="G28" s="3">
        <f>'Tariff Database'!S10</f>
        <v/>
      </c>
      <c r="H28" s="3">
        <f>'Tariff Database'!T10</f>
        <v/>
      </c>
      <c r="I28" s="3">
        <f>'Tariff Database'!U10</f>
        <v/>
      </c>
      <c r="J28" s="3">
        <f>'Tariff Database'!R10</f>
        <v/>
      </c>
      <c r="K28" s="3">
        <f>'Tariff Database'!V10</f>
        <v/>
      </c>
      <c r="L28" s="3">
        <f>'Tariff Database'!W10</f>
        <v/>
      </c>
      <c r="M28" s="3">
        <f>'Tariff Database'!X10</f>
        <v/>
      </c>
      <c r="N28" s="3">
        <f>'Tariff Database'!AA10</f>
        <v/>
      </c>
      <c r="O28" s="3">
        <f>'Tariff Database'!AB10</f>
        <v/>
      </c>
    </row>
    <row r="29">
      <c r="A29" s="3" t="n">
        <v>28</v>
      </c>
      <c r="B29" s="3">
        <f>'Tariff Database'!B17</f>
        <v/>
      </c>
      <c r="C29" s="3">
        <f>'Tariff Database'!C17</f>
        <v/>
      </c>
      <c r="D29" s="3">
        <f>'Tariff Database'!J17</f>
        <v/>
      </c>
      <c r="E29" s="3">
        <f>'Tariff Database'!Q17</f>
        <v/>
      </c>
      <c r="F29" s="3">
        <f>'Tariff Database'!P17</f>
        <v/>
      </c>
      <c r="G29" s="3">
        <f>'Tariff Database'!S17</f>
        <v/>
      </c>
      <c r="H29" s="3">
        <f>'Tariff Database'!T17</f>
        <v/>
      </c>
      <c r="I29" s="3">
        <f>'Tariff Database'!U17</f>
        <v/>
      </c>
      <c r="J29" s="3">
        <f>'Tariff Database'!R17</f>
        <v/>
      </c>
      <c r="K29" s="3">
        <f>'Tariff Database'!V17</f>
        <v/>
      </c>
      <c r="L29" s="3">
        <f>'Tariff Database'!W17</f>
        <v/>
      </c>
      <c r="M29" s="3">
        <f>'Tariff Database'!X17</f>
        <v/>
      </c>
      <c r="N29" s="3">
        <f>'Tariff Database'!AA17</f>
        <v/>
      </c>
      <c r="O29" s="3">
        <f>'Tariff Database'!AB17</f>
        <v/>
      </c>
    </row>
    <row r="30">
      <c r="A30" s="3" t="n">
        <v>29</v>
      </c>
      <c r="B30" s="3">
        <f>'Tariff Database'!B18</f>
        <v/>
      </c>
      <c r="C30" s="3">
        <f>'Tariff Database'!C18</f>
        <v/>
      </c>
      <c r="D30" s="3">
        <f>'Tariff Database'!J18</f>
        <v/>
      </c>
      <c r="E30" s="3">
        <f>'Tariff Database'!Q18</f>
        <v/>
      </c>
      <c r="F30" s="3">
        <f>'Tariff Database'!P18</f>
        <v/>
      </c>
      <c r="G30" s="3">
        <f>'Tariff Database'!S18</f>
        <v/>
      </c>
      <c r="H30" s="3">
        <f>'Tariff Database'!T18</f>
        <v/>
      </c>
      <c r="I30" s="3">
        <f>'Tariff Database'!U18</f>
        <v/>
      </c>
      <c r="J30" s="3">
        <f>'Tariff Database'!R18</f>
        <v/>
      </c>
      <c r="K30" s="3">
        <f>'Tariff Database'!V18</f>
        <v/>
      </c>
      <c r="L30" s="3">
        <f>'Tariff Database'!W18</f>
        <v/>
      </c>
      <c r="M30" s="3">
        <f>'Tariff Database'!X18</f>
        <v/>
      </c>
      <c r="N30" s="3">
        <f>'Tariff Database'!AA18</f>
        <v/>
      </c>
      <c r="O30" s="3">
        <f>'Tariff Database'!AB18</f>
        <v/>
      </c>
    </row>
    <row r="31">
      <c r="A31" s="3" t="n">
        <v>30</v>
      </c>
      <c r="B31" s="3">
        <f>'Tariff Database'!B20</f>
        <v/>
      </c>
      <c r="C31" s="3">
        <f>'Tariff Database'!C20</f>
        <v/>
      </c>
      <c r="D31" s="3">
        <f>'Tariff Database'!J20</f>
        <v/>
      </c>
      <c r="E31" s="3">
        <f>'Tariff Database'!Q20</f>
        <v/>
      </c>
      <c r="F31" s="3">
        <f>'Tariff Database'!P20</f>
        <v/>
      </c>
      <c r="G31" s="3">
        <f>'Tariff Database'!S20</f>
        <v/>
      </c>
      <c r="H31" s="3">
        <f>'Tariff Database'!T20</f>
        <v/>
      </c>
      <c r="I31" s="3">
        <f>'Tariff Database'!U20</f>
        <v/>
      </c>
      <c r="J31" s="3">
        <f>'Tariff Database'!R20</f>
        <v/>
      </c>
      <c r="K31" s="3">
        <f>'Tariff Database'!V20</f>
        <v/>
      </c>
      <c r="L31" s="3">
        <f>'Tariff Database'!W20</f>
        <v/>
      </c>
      <c r="M31" s="3">
        <f>'Tariff Database'!X20</f>
        <v/>
      </c>
      <c r="N31" s="3">
        <f>'Tariff Database'!AA20</f>
        <v/>
      </c>
      <c r="O31" s="3">
        <f>'Tariff Database'!AB20</f>
        <v/>
      </c>
    </row>
    <row r="32">
      <c r="A32" s="3" t="n">
        <v>31</v>
      </c>
      <c r="B32" s="3">
        <f>'Tariff Database'!B21</f>
        <v/>
      </c>
      <c r="C32" s="3">
        <f>'Tariff Database'!C21</f>
        <v/>
      </c>
      <c r="D32" s="3">
        <f>'Tariff Database'!J21</f>
        <v/>
      </c>
      <c r="E32" s="3">
        <f>'Tariff Database'!Q21</f>
        <v/>
      </c>
      <c r="F32" s="3">
        <f>'Tariff Database'!P21</f>
        <v/>
      </c>
      <c r="G32" s="3">
        <f>'Tariff Database'!S21</f>
        <v/>
      </c>
      <c r="H32" s="3">
        <f>'Tariff Database'!T21</f>
        <v/>
      </c>
      <c r="I32" s="3">
        <f>'Tariff Database'!U21</f>
        <v/>
      </c>
      <c r="J32" s="3">
        <f>'Tariff Database'!R21</f>
        <v/>
      </c>
      <c r="K32" s="3">
        <f>'Tariff Database'!V21</f>
        <v/>
      </c>
      <c r="L32" s="3">
        <f>'Tariff Database'!W21</f>
        <v/>
      </c>
      <c r="M32" s="3">
        <f>'Tariff Database'!X21</f>
        <v/>
      </c>
      <c r="N32" s="3">
        <f>'Tariff Database'!AA21</f>
        <v/>
      </c>
      <c r="O32" s="3">
        <f>'Tariff Database'!AB21</f>
        <v/>
      </c>
    </row>
    <row r="33">
      <c r="A33" s="3" t="n">
        <v>32</v>
      </c>
      <c r="B33" s="3">
        <f>'Tariff Database'!B28</f>
        <v/>
      </c>
      <c r="C33" s="3">
        <f>'Tariff Database'!C28</f>
        <v/>
      </c>
      <c r="D33" s="3">
        <f>'Tariff Database'!J28</f>
        <v/>
      </c>
      <c r="E33" s="3">
        <f>'Tariff Database'!Q28</f>
        <v/>
      </c>
      <c r="F33" s="3">
        <f>'Tariff Database'!P28</f>
        <v/>
      </c>
      <c r="G33" s="3">
        <f>'Tariff Database'!S28</f>
        <v/>
      </c>
      <c r="H33" s="3">
        <f>'Tariff Database'!T28</f>
        <v/>
      </c>
      <c r="I33" s="3">
        <f>'Tariff Database'!U28</f>
        <v/>
      </c>
      <c r="J33" s="3">
        <f>'Tariff Database'!R28</f>
        <v/>
      </c>
      <c r="K33" s="3">
        <f>'Tariff Database'!V28</f>
        <v/>
      </c>
      <c r="L33" s="3">
        <f>'Tariff Database'!W28</f>
        <v/>
      </c>
      <c r="M33" s="3">
        <f>'Tariff Database'!X28</f>
        <v/>
      </c>
      <c r="N33" s="3">
        <f>'Tariff Database'!AA28</f>
        <v/>
      </c>
      <c r="O33" s="3">
        <f>'Tariff Database'!AB28</f>
        <v/>
      </c>
    </row>
    <row r="34">
      <c r="A34" s="3" t="n">
        <v>33</v>
      </c>
      <c r="B34" s="3">
        <f>'Tariff Database'!B29</f>
        <v/>
      </c>
      <c r="C34" s="3">
        <f>'Tariff Database'!C29</f>
        <v/>
      </c>
      <c r="D34" s="3">
        <f>'Tariff Database'!J29</f>
        <v/>
      </c>
      <c r="E34" s="3">
        <f>'Tariff Database'!Q29</f>
        <v/>
      </c>
      <c r="F34" s="3">
        <f>'Tariff Database'!P29</f>
        <v/>
      </c>
      <c r="G34" s="3">
        <f>'Tariff Database'!S29</f>
        <v/>
      </c>
      <c r="H34" s="3">
        <f>'Tariff Database'!T29</f>
        <v/>
      </c>
      <c r="I34" s="3">
        <f>'Tariff Database'!U29</f>
        <v/>
      </c>
      <c r="J34" s="3">
        <f>'Tariff Database'!R29</f>
        <v/>
      </c>
      <c r="K34" s="3">
        <f>'Tariff Database'!V29</f>
        <v/>
      </c>
      <c r="L34" s="3">
        <f>'Tariff Database'!W29</f>
        <v/>
      </c>
      <c r="M34" s="3">
        <f>'Tariff Database'!X29</f>
        <v/>
      </c>
      <c r="N34" s="3">
        <f>'Tariff Database'!AA29</f>
        <v/>
      </c>
      <c r="O34" s="3">
        <f>'Tariff Database'!AB29</f>
        <v/>
      </c>
    </row>
    <row r="35">
      <c r="A35" s="3" t="n">
        <v>34</v>
      </c>
      <c r="B35" s="3">
        <f>'Tariff Database'!B31</f>
        <v/>
      </c>
      <c r="C35" s="3">
        <f>'Tariff Database'!C31</f>
        <v/>
      </c>
      <c r="D35" s="3">
        <f>'Tariff Database'!J31</f>
        <v/>
      </c>
      <c r="E35" s="3">
        <f>'Tariff Database'!Q31</f>
        <v/>
      </c>
      <c r="F35" s="3">
        <f>'Tariff Database'!P31</f>
        <v/>
      </c>
      <c r="G35" s="3">
        <f>'Tariff Database'!S31</f>
        <v/>
      </c>
      <c r="H35" s="3">
        <f>'Tariff Database'!T31</f>
        <v/>
      </c>
      <c r="I35" s="3">
        <f>'Tariff Database'!U31</f>
        <v/>
      </c>
      <c r="J35" s="3">
        <f>'Tariff Database'!R31</f>
        <v/>
      </c>
      <c r="K35" s="3">
        <f>'Tariff Database'!V31</f>
        <v/>
      </c>
      <c r="L35" s="3">
        <f>'Tariff Database'!W31</f>
        <v/>
      </c>
      <c r="M35" s="3">
        <f>'Tariff Database'!X31</f>
        <v/>
      </c>
      <c r="N35" s="3">
        <f>'Tariff Database'!AA31</f>
        <v/>
      </c>
      <c r="O35" s="3">
        <f>'Tariff Database'!AB31</f>
        <v/>
      </c>
    </row>
    <row r="36">
      <c r="A36" s="3" t="n">
        <v>35</v>
      </c>
      <c r="B36" s="3">
        <f>'Tariff Database'!B32</f>
        <v/>
      </c>
      <c r="C36" s="3">
        <f>'Tariff Database'!C32</f>
        <v/>
      </c>
      <c r="D36" s="3">
        <f>'Tariff Database'!J32</f>
        <v/>
      </c>
      <c r="E36" s="3">
        <f>'Tariff Database'!Q32</f>
        <v/>
      </c>
      <c r="F36" s="3">
        <f>'Tariff Database'!P32</f>
        <v/>
      </c>
      <c r="G36" s="3">
        <f>'Tariff Database'!S32</f>
        <v/>
      </c>
      <c r="H36" s="3">
        <f>'Tariff Database'!T32</f>
        <v/>
      </c>
      <c r="I36" s="3">
        <f>'Tariff Database'!U32</f>
        <v/>
      </c>
      <c r="J36" s="3">
        <f>'Tariff Database'!R32</f>
        <v/>
      </c>
      <c r="K36" s="3">
        <f>'Tariff Database'!V32</f>
        <v/>
      </c>
      <c r="L36" s="3">
        <f>'Tariff Database'!W32</f>
        <v/>
      </c>
      <c r="M36" s="3">
        <f>'Tariff Database'!X32</f>
        <v/>
      </c>
      <c r="N36" s="3">
        <f>'Tariff Database'!AA32</f>
        <v/>
      </c>
      <c r="O36" s="3">
        <f>'Tariff Database'!AB32</f>
        <v/>
      </c>
    </row>
    <row r="37">
      <c r="A37" s="3" t="n">
        <v>36</v>
      </c>
      <c r="B37" s="3">
        <f>'Tariff Database'!B33</f>
        <v/>
      </c>
      <c r="C37" s="3">
        <f>'Tariff Database'!C33</f>
        <v/>
      </c>
      <c r="D37" s="3">
        <f>'Tariff Database'!J33</f>
        <v/>
      </c>
      <c r="E37" s="3">
        <f>'Tariff Database'!Q33</f>
        <v/>
      </c>
      <c r="F37" s="3">
        <f>'Tariff Database'!P33</f>
        <v/>
      </c>
      <c r="G37" s="3">
        <f>'Tariff Database'!S33</f>
        <v/>
      </c>
      <c r="H37" s="3">
        <f>'Tariff Database'!T33</f>
        <v/>
      </c>
      <c r="I37" s="3">
        <f>'Tariff Database'!U33</f>
        <v/>
      </c>
      <c r="J37" s="3">
        <f>'Tariff Database'!R33</f>
        <v/>
      </c>
      <c r="K37" s="3">
        <f>'Tariff Database'!V33</f>
        <v/>
      </c>
      <c r="L37" s="3">
        <f>'Tariff Database'!W33</f>
        <v/>
      </c>
      <c r="M37" s="3">
        <f>'Tariff Database'!X33</f>
        <v/>
      </c>
      <c r="N37" s="3">
        <f>'Tariff Database'!AA33</f>
        <v/>
      </c>
      <c r="O37" s="3">
        <f>'Tariff Database'!AB33</f>
        <v/>
      </c>
    </row>
    <row r="38">
      <c r="A38" s="3" t="n">
        <v>37</v>
      </c>
      <c r="B38" s="3">
        <f>'Tariff Database'!B34</f>
        <v/>
      </c>
      <c r="C38" s="3">
        <f>'Tariff Database'!C34</f>
        <v/>
      </c>
      <c r="D38" s="3">
        <f>'Tariff Database'!J34</f>
        <v/>
      </c>
      <c r="E38" s="3">
        <f>'Tariff Database'!Q34</f>
        <v/>
      </c>
      <c r="F38" s="3">
        <f>'Tariff Database'!P34</f>
        <v/>
      </c>
      <c r="G38" s="3">
        <f>'Tariff Database'!S34</f>
        <v/>
      </c>
      <c r="H38" s="3">
        <f>'Tariff Database'!T34</f>
        <v/>
      </c>
      <c r="I38" s="3">
        <f>'Tariff Database'!U34</f>
        <v/>
      </c>
      <c r="J38" s="3">
        <f>'Tariff Database'!R34</f>
        <v/>
      </c>
      <c r="K38" s="3">
        <f>'Tariff Database'!V34</f>
        <v/>
      </c>
      <c r="L38" s="3">
        <f>'Tariff Database'!W34</f>
        <v/>
      </c>
      <c r="M38" s="3">
        <f>'Tariff Database'!X34</f>
        <v/>
      </c>
      <c r="N38" s="3">
        <f>'Tariff Database'!AA34</f>
        <v/>
      </c>
      <c r="O38" s="3">
        <f>'Tariff Database'!AB34</f>
        <v/>
      </c>
    </row>
    <row r="39">
      <c r="A39" s="3" t="n">
        <v>38</v>
      </c>
      <c r="B39" s="3">
        <f>'Tariff Database'!B35</f>
        <v/>
      </c>
      <c r="C39" s="3">
        <f>'Tariff Database'!C35</f>
        <v/>
      </c>
      <c r="D39" s="3">
        <f>'Tariff Database'!J35</f>
        <v/>
      </c>
      <c r="E39" s="3">
        <f>'Tariff Database'!Q35</f>
        <v/>
      </c>
      <c r="F39" s="3">
        <f>'Tariff Database'!P35</f>
        <v/>
      </c>
      <c r="G39" s="3">
        <f>'Tariff Database'!S35</f>
        <v/>
      </c>
      <c r="H39" s="3">
        <f>'Tariff Database'!T35</f>
        <v/>
      </c>
      <c r="I39" s="3">
        <f>'Tariff Database'!U35</f>
        <v/>
      </c>
      <c r="J39" s="3">
        <f>'Tariff Database'!R35</f>
        <v/>
      </c>
      <c r="K39" s="3">
        <f>'Tariff Database'!V35</f>
        <v/>
      </c>
      <c r="L39" s="3">
        <f>'Tariff Database'!W35</f>
        <v/>
      </c>
      <c r="M39" s="3">
        <f>'Tariff Database'!X35</f>
        <v/>
      </c>
      <c r="N39" s="3">
        <f>'Tariff Database'!AA35</f>
        <v/>
      </c>
      <c r="O39" s="3">
        <f>'Tariff Database'!AB35</f>
        <v/>
      </c>
    </row>
    <row r="40">
      <c r="A40" s="3" t="n">
        <v>39</v>
      </c>
      <c r="B40" s="3">
        <f>'Tariff Database'!B36</f>
        <v/>
      </c>
      <c r="C40" s="3">
        <f>'Tariff Database'!C36</f>
        <v/>
      </c>
      <c r="D40" s="3">
        <f>'Tariff Database'!J36</f>
        <v/>
      </c>
      <c r="E40" s="3">
        <f>'Tariff Database'!Q36</f>
        <v/>
      </c>
      <c r="F40" s="3">
        <f>'Tariff Database'!P36</f>
        <v/>
      </c>
      <c r="G40" s="3">
        <f>'Tariff Database'!S36</f>
        <v/>
      </c>
      <c r="H40" s="3">
        <f>'Tariff Database'!T36</f>
        <v/>
      </c>
      <c r="I40" s="3">
        <f>'Tariff Database'!U36</f>
        <v/>
      </c>
      <c r="J40" s="3">
        <f>'Tariff Database'!R36</f>
        <v/>
      </c>
      <c r="K40" s="3">
        <f>'Tariff Database'!V36</f>
        <v/>
      </c>
      <c r="L40" s="3">
        <f>'Tariff Database'!W36</f>
        <v/>
      </c>
      <c r="M40" s="3">
        <f>'Tariff Database'!X36</f>
        <v/>
      </c>
      <c r="N40" s="3">
        <f>'Tariff Database'!AA36</f>
        <v/>
      </c>
      <c r="O40" s="3">
        <f>'Tariff Database'!AB36</f>
        <v/>
      </c>
    </row>
    <row r="41">
      <c r="A41" s="3" t="n">
        <v>40</v>
      </c>
      <c r="B41" s="3">
        <f>'Tariff Database'!B42</f>
        <v/>
      </c>
      <c r="C41" s="3">
        <f>'Tariff Database'!C42</f>
        <v/>
      </c>
      <c r="D41" s="3">
        <f>'Tariff Database'!J42</f>
        <v/>
      </c>
      <c r="E41" s="3">
        <f>'Tariff Database'!Q42</f>
        <v/>
      </c>
      <c r="F41" s="3">
        <f>'Tariff Database'!P42</f>
        <v/>
      </c>
      <c r="G41" s="3">
        <f>'Tariff Database'!S42</f>
        <v/>
      </c>
      <c r="H41" s="3">
        <f>'Tariff Database'!T42</f>
        <v/>
      </c>
      <c r="I41" s="3">
        <f>'Tariff Database'!U42</f>
        <v/>
      </c>
      <c r="J41" s="3">
        <f>'Tariff Database'!R42</f>
        <v/>
      </c>
      <c r="K41" s="3">
        <f>'Tariff Database'!V42</f>
        <v/>
      </c>
      <c r="L41" s="3">
        <f>'Tariff Database'!W42</f>
        <v/>
      </c>
      <c r="M41" s="3">
        <f>'Tariff Database'!X42</f>
        <v/>
      </c>
      <c r="N41" s="3">
        <f>'Tariff Database'!AA42</f>
        <v/>
      </c>
      <c r="O41" s="3">
        <f>'Tariff Database'!AB42</f>
        <v/>
      </c>
    </row>
    <row r="42">
      <c r="A42" s="3" t="n">
        <v>41</v>
      </c>
      <c r="B42" s="3">
        <f>'Tariff Database'!B45</f>
        <v/>
      </c>
      <c r="C42" s="3">
        <f>'Tariff Database'!C45</f>
        <v/>
      </c>
      <c r="D42" s="3">
        <f>'Tariff Database'!J45</f>
        <v/>
      </c>
      <c r="E42" s="3">
        <f>'Tariff Database'!Q45</f>
        <v/>
      </c>
      <c r="F42" s="3">
        <f>'Tariff Database'!P45</f>
        <v/>
      </c>
      <c r="G42" s="3">
        <f>'Tariff Database'!S45</f>
        <v/>
      </c>
      <c r="H42" s="3">
        <f>'Tariff Database'!T45</f>
        <v/>
      </c>
      <c r="I42" s="3">
        <f>'Tariff Database'!U45</f>
        <v/>
      </c>
      <c r="J42" s="3">
        <f>'Tariff Database'!R45</f>
        <v/>
      </c>
      <c r="K42" s="3">
        <f>'Tariff Database'!V45</f>
        <v/>
      </c>
      <c r="L42" s="3">
        <f>'Tariff Database'!W45</f>
        <v/>
      </c>
      <c r="M42" s="3">
        <f>'Tariff Database'!X45</f>
        <v/>
      </c>
      <c r="N42" s="3">
        <f>'Tariff Database'!AA45</f>
        <v/>
      </c>
      <c r="O42" s="3">
        <f>'Tariff Database'!AB45</f>
        <v/>
      </c>
    </row>
    <row r="43">
      <c r="A43" s="3" t="n">
        <v>42</v>
      </c>
      <c r="B43" s="3">
        <f>'Tariff Database'!B46</f>
        <v/>
      </c>
      <c r="C43" s="3">
        <f>'Tariff Database'!C46</f>
        <v/>
      </c>
      <c r="D43" s="3">
        <f>'Tariff Database'!J46</f>
        <v/>
      </c>
      <c r="E43" s="3">
        <f>'Tariff Database'!Q46</f>
        <v/>
      </c>
      <c r="F43" s="3">
        <f>'Tariff Database'!P46</f>
        <v/>
      </c>
      <c r="G43" s="3">
        <f>'Tariff Database'!S46</f>
        <v/>
      </c>
      <c r="H43" s="3">
        <f>'Tariff Database'!T46</f>
        <v/>
      </c>
      <c r="I43" s="3">
        <f>'Tariff Database'!U46</f>
        <v/>
      </c>
      <c r="J43" s="3">
        <f>'Tariff Database'!R46</f>
        <v/>
      </c>
      <c r="K43" s="3">
        <f>'Tariff Database'!V46</f>
        <v/>
      </c>
      <c r="L43" s="3">
        <f>'Tariff Database'!W46</f>
        <v/>
      </c>
      <c r="M43" s="3">
        <f>'Tariff Database'!X46</f>
        <v/>
      </c>
      <c r="N43" s="3">
        <f>'Tariff Database'!AA46</f>
        <v/>
      </c>
      <c r="O43" s="3">
        <f>'Tariff Database'!AB46</f>
        <v/>
      </c>
    </row>
    <row r="44">
      <c r="A44" s="3" t="n">
        <v>43</v>
      </c>
      <c r="B44" s="3">
        <f>'Tariff Database'!B47</f>
        <v/>
      </c>
      <c r="C44" s="3">
        <f>'Tariff Database'!C47</f>
        <v/>
      </c>
      <c r="D44" s="3">
        <f>'Tariff Database'!J47</f>
        <v/>
      </c>
      <c r="E44" s="3">
        <f>'Tariff Database'!Q47</f>
        <v/>
      </c>
      <c r="F44" s="3">
        <f>'Tariff Database'!P47</f>
        <v/>
      </c>
      <c r="G44" s="3">
        <f>'Tariff Database'!S47</f>
        <v/>
      </c>
      <c r="H44" s="3">
        <f>'Tariff Database'!T47</f>
        <v/>
      </c>
      <c r="I44" s="3">
        <f>'Tariff Database'!U47</f>
        <v/>
      </c>
      <c r="J44" s="3">
        <f>'Tariff Database'!R47</f>
        <v/>
      </c>
      <c r="K44" s="3">
        <f>'Tariff Database'!V47</f>
        <v/>
      </c>
      <c r="L44" s="3">
        <f>'Tariff Database'!W47</f>
        <v/>
      </c>
      <c r="M44" s="3">
        <f>'Tariff Database'!X47</f>
        <v/>
      </c>
      <c r="N44" s="3">
        <f>'Tariff Database'!AA47</f>
        <v/>
      </c>
      <c r="O44" s="3">
        <f>'Tariff Database'!AB47</f>
        <v/>
      </c>
    </row>
    <row r="45">
      <c r="A45" s="3" t="n">
        <v>44</v>
      </c>
      <c r="B45" s="3">
        <f>'Tariff Database'!B48</f>
        <v/>
      </c>
      <c r="C45" s="3">
        <f>'Tariff Database'!C48</f>
        <v/>
      </c>
      <c r="D45" s="3">
        <f>'Tariff Database'!J48</f>
        <v/>
      </c>
      <c r="E45" s="3">
        <f>'Tariff Database'!Q48</f>
        <v/>
      </c>
      <c r="F45" s="3">
        <f>'Tariff Database'!P48</f>
        <v/>
      </c>
      <c r="G45" s="3">
        <f>'Tariff Database'!S48</f>
        <v/>
      </c>
      <c r="H45" s="3">
        <f>'Tariff Database'!T48</f>
        <v/>
      </c>
      <c r="I45" s="3">
        <f>'Tariff Database'!U48</f>
        <v/>
      </c>
      <c r="J45" s="3">
        <f>'Tariff Database'!R48</f>
        <v/>
      </c>
      <c r="K45" s="3">
        <f>'Tariff Database'!V48</f>
        <v/>
      </c>
      <c r="L45" s="3">
        <f>'Tariff Database'!W48</f>
        <v/>
      </c>
      <c r="M45" s="3">
        <f>'Tariff Database'!X48</f>
        <v/>
      </c>
      <c r="N45" s="3">
        <f>'Tariff Database'!AA48</f>
        <v/>
      </c>
      <c r="O45" s="3">
        <f>'Tariff Database'!AB48</f>
        <v/>
      </c>
    </row>
    <row r="46">
      <c r="A46" s="3" t="n">
        <v>45</v>
      </c>
      <c r="B46" s="3">
        <f>'Tariff Database'!B49</f>
        <v/>
      </c>
      <c r="C46" s="3">
        <f>'Tariff Database'!C49</f>
        <v/>
      </c>
      <c r="D46" s="3">
        <f>'Tariff Database'!J49</f>
        <v/>
      </c>
      <c r="E46" s="3">
        <f>'Tariff Database'!Q49</f>
        <v/>
      </c>
      <c r="F46" s="3">
        <f>'Tariff Database'!P49</f>
        <v/>
      </c>
      <c r="G46" s="3">
        <f>'Tariff Database'!S49</f>
        <v/>
      </c>
      <c r="H46" s="3">
        <f>'Tariff Database'!T49</f>
        <v/>
      </c>
      <c r="I46" s="3">
        <f>'Tariff Database'!U49</f>
        <v/>
      </c>
      <c r="J46" s="3">
        <f>'Tariff Database'!R49</f>
        <v/>
      </c>
      <c r="K46" s="3">
        <f>'Tariff Database'!V49</f>
        <v/>
      </c>
      <c r="L46" s="3">
        <f>'Tariff Database'!W49</f>
        <v/>
      </c>
      <c r="M46" s="3">
        <f>'Tariff Database'!X49</f>
        <v/>
      </c>
      <c r="N46" s="3">
        <f>'Tariff Database'!AA49</f>
        <v/>
      </c>
      <c r="O46" s="3">
        <f>'Tariff Database'!AB49</f>
        <v/>
      </c>
    </row>
    <row r="47">
      <c r="A47" s="3" t="n">
        <v>46</v>
      </c>
      <c r="B47" s="3">
        <f>'Tariff Database'!B50</f>
        <v/>
      </c>
      <c r="C47" s="3">
        <f>'Tariff Database'!C50</f>
        <v/>
      </c>
      <c r="D47" s="3">
        <f>'Tariff Database'!J50</f>
        <v/>
      </c>
      <c r="E47" s="3">
        <f>'Tariff Database'!Q50</f>
        <v/>
      </c>
      <c r="F47" s="3">
        <f>'Tariff Database'!P50</f>
        <v/>
      </c>
      <c r="G47" s="3">
        <f>'Tariff Database'!S50</f>
        <v/>
      </c>
      <c r="H47" s="3">
        <f>'Tariff Database'!T50</f>
        <v/>
      </c>
      <c r="I47" s="3">
        <f>'Tariff Database'!U50</f>
        <v/>
      </c>
      <c r="J47" s="3">
        <f>'Tariff Database'!R50</f>
        <v/>
      </c>
      <c r="K47" s="3">
        <f>'Tariff Database'!V50</f>
        <v/>
      </c>
      <c r="L47" s="3">
        <f>'Tariff Database'!W50</f>
        <v/>
      </c>
      <c r="M47" s="3">
        <f>'Tariff Database'!X50</f>
        <v/>
      </c>
      <c r="N47" s="3">
        <f>'Tariff Database'!AA50</f>
        <v/>
      </c>
      <c r="O47" s="3">
        <f>'Tariff Database'!AB50</f>
        <v/>
      </c>
    </row>
    <row r="48">
      <c r="A48" s="3" t="n">
        <v>47</v>
      </c>
      <c r="B48" s="3">
        <f>'Tariff Database'!B51</f>
        <v/>
      </c>
      <c r="C48" s="3">
        <f>'Tariff Database'!C51</f>
        <v/>
      </c>
      <c r="D48" s="3">
        <f>'Tariff Database'!J51</f>
        <v/>
      </c>
      <c r="E48" s="3">
        <f>'Tariff Database'!Q51</f>
        <v/>
      </c>
      <c r="F48" s="3">
        <f>'Tariff Database'!P51</f>
        <v/>
      </c>
      <c r="G48" s="3">
        <f>'Tariff Database'!S51</f>
        <v/>
      </c>
      <c r="H48" s="3">
        <f>'Tariff Database'!T51</f>
        <v/>
      </c>
      <c r="I48" s="3">
        <f>'Tariff Database'!U51</f>
        <v/>
      </c>
      <c r="J48" s="3">
        <f>'Tariff Database'!R51</f>
        <v/>
      </c>
      <c r="K48" s="3">
        <f>'Tariff Database'!V51</f>
        <v/>
      </c>
      <c r="L48" s="3">
        <f>'Tariff Database'!W51</f>
        <v/>
      </c>
      <c r="M48" s="3">
        <f>'Tariff Database'!X51</f>
        <v/>
      </c>
      <c r="N48" s="3">
        <f>'Tariff Database'!AA51</f>
        <v/>
      </c>
      <c r="O48" s="3">
        <f>'Tariff Database'!AB51</f>
        <v/>
      </c>
    </row>
    <row r="49">
      <c r="A49" s="3" t="n">
        <v>48</v>
      </c>
      <c r="B49" s="3">
        <f>'Tariff Database'!B54</f>
        <v/>
      </c>
      <c r="C49" s="3">
        <f>'Tariff Database'!C54</f>
        <v/>
      </c>
      <c r="D49" s="3">
        <f>'Tariff Database'!J54</f>
        <v/>
      </c>
      <c r="E49" s="3">
        <f>'Tariff Database'!Q54</f>
        <v/>
      </c>
      <c r="F49" s="3">
        <f>'Tariff Database'!P54</f>
        <v/>
      </c>
      <c r="G49" s="3">
        <f>'Tariff Database'!S54</f>
        <v/>
      </c>
      <c r="H49" s="3">
        <f>'Tariff Database'!T54</f>
        <v/>
      </c>
      <c r="I49" s="3">
        <f>'Tariff Database'!U54</f>
        <v/>
      </c>
      <c r="J49" s="3">
        <f>'Tariff Database'!R54</f>
        <v/>
      </c>
      <c r="K49" s="3">
        <f>'Tariff Database'!V54</f>
        <v/>
      </c>
      <c r="L49" s="3">
        <f>'Tariff Database'!W54</f>
        <v/>
      </c>
      <c r="M49" s="3">
        <f>'Tariff Database'!X54</f>
        <v/>
      </c>
      <c r="N49" s="3">
        <f>'Tariff Database'!AA54</f>
        <v/>
      </c>
      <c r="O49" s="3">
        <f>'Tariff Database'!AB54</f>
        <v/>
      </c>
    </row>
    <row r="50">
      <c r="A50" s="3" t="n">
        <v>49</v>
      </c>
      <c r="B50" s="3">
        <f>'Tariff Database'!B55</f>
        <v/>
      </c>
      <c r="C50" s="3">
        <f>'Tariff Database'!C55</f>
        <v/>
      </c>
      <c r="D50" s="3">
        <f>'Tariff Database'!J55</f>
        <v/>
      </c>
      <c r="E50" s="3">
        <f>'Tariff Database'!Q55</f>
        <v/>
      </c>
      <c r="F50" s="3">
        <f>'Tariff Database'!P55</f>
        <v/>
      </c>
      <c r="G50" s="3">
        <f>'Tariff Database'!S55</f>
        <v/>
      </c>
      <c r="H50" s="3">
        <f>'Tariff Database'!T55</f>
        <v/>
      </c>
      <c r="I50" s="3">
        <f>'Tariff Database'!U55</f>
        <v/>
      </c>
      <c r="J50" s="3">
        <f>'Tariff Database'!R55</f>
        <v/>
      </c>
      <c r="K50" s="3">
        <f>'Tariff Database'!V55</f>
        <v/>
      </c>
      <c r="L50" s="3">
        <f>'Tariff Database'!W55</f>
        <v/>
      </c>
      <c r="M50" s="3">
        <f>'Tariff Database'!X55</f>
        <v/>
      </c>
      <c r="N50" s="3">
        <f>'Tariff Database'!AA55</f>
        <v/>
      </c>
      <c r="O50" s="3">
        <f>'Tariff Database'!AB55</f>
        <v/>
      </c>
    </row>
    <row r="51">
      <c r="A51" s="3" t="n">
        <v>50</v>
      </c>
      <c r="B51" s="3">
        <f>'Tariff Database'!B56</f>
        <v/>
      </c>
      <c r="C51" s="3">
        <f>'Tariff Database'!C56</f>
        <v/>
      </c>
      <c r="D51" s="3">
        <f>'Tariff Database'!J56</f>
        <v/>
      </c>
      <c r="E51" s="3">
        <f>'Tariff Database'!Q56</f>
        <v/>
      </c>
      <c r="F51" s="3">
        <f>'Tariff Database'!P56</f>
        <v/>
      </c>
      <c r="G51" s="3">
        <f>'Tariff Database'!S56</f>
        <v/>
      </c>
      <c r="H51" s="3">
        <f>'Tariff Database'!T56</f>
        <v/>
      </c>
      <c r="I51" s="3">
        <f>'Tariff Database'!U56</f>
        <v/>
      </c>
      <c r="J51" s="3">
        <f>'Tariff Database'!R56</f>
        <v/>
      </c>
      <c r="K51" s="3">
        <f>'Tariff Database'!V56</f>
        <v/>
      </c>
      <c r="L51" s="3">
        <f>'Tariff Database'!W56</f>
        <v/>
      </c>
      <c r="M51" s="3">
        <f>'Tariff Database'!X56</f>
        <v/>
      </c>
      <c r="N51" s="3">
        <f>'Tariff Database'!AA56</f>
        <v/>
      </c>
      <c r="O51" s="3">
        <f>'Tariff Database'!AB56</f>
        <v/>
      </c>
    </row>
    <row r="52">
      <c r="A52" s="3" t="n">
        <v>51</v>
      </c>
      <c r="B52" s="3">
        <f>'Tariff Database'!B57</f>
        <v/>
      </c>
      <c r="C52" s="3">
        <f>'Tariff Database'!C57</f>
        <v/>
      </c>
      <c r="D52" s="3">
        <f>'Tariff Database'!J57</f>
        <v/>
      </c>
      <c r="E52" s="3">
        <f>'Tariff Database'!Q57</f>
        <v/>
      </c>
      <c r="F52" s="3">
        <f>'Tariff Database'!P57</f>
        <v/>
      </c>
      <c r="G52" s="3">
        <f>'Tariff Database'!S57</f>
        <v/>
      </c>
      <c r="H52" s="3">
        <f>'Tariff Database'!T57</f>
        <v/>
      </c>
      <c r="I52" s="3">
        <f>'Tariff Database'!U57</f>
        <v/>
      </c>
      <c r="J52" s="3">
        <f>'Tariff Database'!R57</f>
        <v/>
      </c>
      <c r="K52" s="3">
        <f>'Tariff Database'!V57</f>
        <v/>
      </c>
      <c r="L52" s="3">
        <f>'Tariff Database'!W57</f>
        <v/>
      </c>
      <c r="M52" s="3">
        <f>'Tariff Database'!X57</f>
        <v/>
      </c>
      <c r="N52" s="3">
        <f>'Tariff Database'!AA57</f>
        <v/>
      </c>
      <c r="O52" s="3">
        <f>'Tariff Database'!AB57</f>
        <v/>
      </c>
    </row>
    <row r="53">
      <c r="A53" s="3" t="n">
        <v>52</v>
      </c>
      <c r="B53" s="3">
        <f>'Tariff Database'!B58</f>
        <v/>
      </c>
      <c r="C53" s="3">
        <f>'Tariff Database'!C58</f>
        <v/>
      </c>
      <c r="D53" s="3">
        <f>'Tariff Database'!J58</f>
        <v/>
      </c>
      <c r="E53" s="3">
        <f>'Tariff Database'!Q58</f>
        <v/>
      </c>
      <c r="F53" s="3">
        <f>'Tariff Database'!P58</f>
        <v/>
      </c>
      <c r="G53" s="3">
        <f>'Tariff Database'!S58</f>
        <v/>
      </c>
      <c r="H53" s="3">
        <f>'Tariff Database'!T58</f>
        <v/>
      </c>
      <c r="I53" s="3">
        <f>'Tariff Database'!U58</f>
        <v/>
      </c>
      <c r="J53" s="3">
        <f>'Tariff Database'!R58</f>
        <v/>
      </c>
      <c r="K53" s="3">
        <f>'Tariff Database'!V58</f>
        <v/>
      </c>
      <c r="L53" s="3">
        <f>'Tariff Database'!W58</f>
        <v/>
      </c>
      <c r="M53" s="3">
        <f>'Tariff Database'!X58</f>
        <v/>
      </c>
      <c r="N53" s="3">
        <f>'Tariff Database'!AA58</f>
        <v/>
      </c>
      <c r="O53" s="3">
        <f>'Tariff Database'!AB58</f>
        <v/>
      </c>
    </row>
    <row r="54">
      <c r="A54" s="3" t="n">
        <v>53</v>
      </c>
      <c r="B54" s="3">
        <f>'Tariff Database'!B59</f>
        <v/>
      </c>
      <c r="C54" s="3">
        <f>'Tariff Database'!C59</f>
        <v/>
      </c>
      <c r="D54" s="3">
        <f>'Tariff Database'!J59</f>
        <v/>
      </c>
      <c r="E54" s="3">
        <f>'Tariff Database'!Q59</f>
        <v/>
      </c>
      <c r="F54" s="3">
        <f>'Tariff Database'!P59</f>
        <v/>
      </c>
      <c r="G54" s="3">
        <f>'Tariff Database'!S59</f>
        <v/>
      </c>
      <c r="H54" s="3">
        <f>'Tariff Database'!T59</f>
        <v/>
      </c>
      <c r="I54" s="3">
        <f>'Tariff Database'!U59</f>
        <v/>
      </c>
      <c r="J54" s="3">
        <f>'Tariff Database'!R59</f>
        <v/>
      </c>
      <c r="K54" s="3">
        <f>'Tariff Database'!V59</f>
        <v/>
      </c>
      <c r="L54" s="3">
        <f>'Tariff Database'!W59</f>
        <v/>
      </c>
      <c r="M54" s="3">
        <f>'Tariff Database'!X59</f>
        <v/>
      </c>
      <c r="N54" s="3">
        <f>'Tariff Database'!AA59</f>
        <v/>
      </c>
      <c r="O54" s="3">
        <f>'Tariff Database'!AB59</f>
        <v/>
      </c>
    </row>
    <row r="55">
      <c r="A55" s="3" t="n">
        <v>54</v>
      </c>
      <c r="B55" s="3">
        <f>'Tariff Database'!B60</f>
        <v/>
      </c>
      <c r="C55" s="3">
        <f>'Tariff Database'!C60</f>
        <v/>
      </c>
      <c r="D55" s="3">
        <f>'Tariff Database'!J60</f>
        <v/>
      </c>
      <c r="E55" s="3">
        <f>'Tariff Database'!Q60</f>
        <v/>
      </c>
      <c r="F55" s="3">
        <f>'Tariff Database'!P60</f>
        <v/>
      </c>
      <c r="G55" s="3">
        <f>'Tariff Database'!S60</f>
        <v/>
      </c>
      <c r="H55" s="3">
        <f>'Tariff Database'!T60</f>
        <v/>
      </c>
      <c r="I55" s="3">
        <f>'Tariff Database'!U60</f>
        <v/>
      </c>
      <c r="J55" s="3">
        <f>'Tariff Database'!R60</f>
        <v/>
      </c>
      <c r="K55" s="3">
        <f>'Tariff Database'!V60</f>
        <v/>
      </c>
      <c r="L55" s="3">
        <f>'Tariff Database'!W60</f>
        <v/>
      </c>
      <c r="M55" s="3">
        <f>'Tariff Database'!X60</f>
        <v/>
      </c>
      <c r="N55" s="3">
        <f>'Tariff Database'!AA60</f>
        <v/>
      </c>
      <c r="O55" s="3">
        <f>'Tariff Database'!AB60</f>
        <v/>
      </c>
    </row>
    <row r="56">
      <c r="A56" s="3" t="n">
        <v>55</v>
      </c>
      <c r="B56" s="3">
        <f>'Tariff Database'!B61</f>
        <v/>
      </c>
      <c r="C56" s="3">
        <f>'Tariff Database'!C61</f>
        <v/>
      </c>
      <c r="D56" s="3">
        <f>'Tariff Database'!J61</f>
        <v/>
      </c>
      <c r="E56" s="3">
        <f>'Tariff Database'!Q61</f>
        <v/>
      </c>
      <c r="F56" s="3">
        <f>'Tariff Database'!P61</f>
        <v/>
      </c>
      <c r="G56" s="3">
        <f>'Tariff Database'!S61</f>
        <v/>
      </c>
      <c r="H56" s="3">
        <f>'Tariff Database'!T61</f>
        <v/>
      </c>
      <c r="I56" s="3">
        <f>'Tariff Database'!U61</f>
        <v/>
      </c>
      <c r="J56" s="3">
        <f>'Tariff Database'!R61</f>
        <v/>
      </c>
      <c r="K56" s="3">
        <f>'Tariff Database'!V61</f>
        <v/>
      </c>
      <c r="L56" s="3">
        <f>'Tariff Database'!W61</f>
        <v/>
      </c>
      <c r="M56" s="3">
        <f>'Tariff Database'!X61</f>
        <v/>
      </c>
      <c r="N56" s="3">
        <f>'Tariff Database'!AA61</f>
        <v/>
      </c>
      <c r="O56" s="3">
        <f>'Tariff Database'!AB61</f>
        <v/>
      </c>
    </row>
    <row r="57">
      <c r="A57" s="3" t="n">
        <v>56</v>
      </c>
      <c r="B57" s="3">
        <f>'Tariff Database'!B62</f>
        <v/>
      </c>
      <c r="C57" s="3">
        <f>'Tariff Database'!C62</f>
        <v/>
      </c>
      <c r="D57" s="3">
        <f>'Tariff Database'!J62</f>
        <v/>
      </c>
      <c r="E57" s="3">
        <f>'Tariff Database'!Q62</f>
        <v/>
      </c>
      <c r="F57" s="3">
        <f>'Tariff Database'!P62</f>
        <v/>
      </c>
      <c r="G57" s="3">
        <f>'Tariff Database'!S62</f>
        <v/>
      </c>
      <c r="H57" s="3">
        <f>'Tariff Database'!T62</f>
        <v/>
      </c>
      <c r="I57" s="3">
        <f>'Tariff Database'!U62</f>
        <v/>
      </c>
      <c r="J57" s="3">
        <f>'Tariff Database'!R62</f>
        <v/>
      </c>
      <c r="K57" s="3">
        <f>'Tariff Database'!V62</f>
        <v/>
      </c>
      <c r="L57" s="3">
        <f>'Tariff Database'!W62</f>
        <v/>
      </c>
      <c r="M57" s="3">
        <f>'Tariff Database'!X62</f>
        <v/>
      </c>
      <c r="N57" s="3">
        <f>'Tariff Database'!AA62</f>
        <v/>
      </c>
      <c r="O57" s="3">
        <f>'Tariff Database'!AB62</f>
        <v/>
      </c>
    </row>
    <row r="58">
      <c r="A58" s="3" t="n">
        <v>57</v>
      </c>
      <c r="B58" s="3">
        <f>'Tariff Database'!B63</f>
        <v/>
      </c>
      <c r="C58" s="3">
        <f>'Tariff Database'!C63</f>
        <v/>
      </c>
      <c r="D58" s="3">
        <f>'Tariff Database'!J63</f>
        <v/>
      </c>
      <c r="E58" s="3">
        <f>'Tariff Database'!Q63</f>
        <v/>
      </c>
      <c r="F58" s="3">
        <f>'Tariff Database'!P63</f>
        <v/>
      </c>
      <c r="G58" s="3">
        <f>'Tariff Database'!S63</f>
        <v/>
      </c>
      <c r="H58" s="3">
        <f>'Tariff Database'!T63</f>
        <v/>
      </c>
      <c r="I58" s="3">
        <f>'Tariff Database'!U63</f>
        <v/>
      </c>
      <c r="J58" s="3">
        <f>'Tariff Database'!R63</f>
        <v/>
      </c>
      <c r="K58" s="3">
        <f>'Tariff Database'!V63</f>
        <v/>
      </c>
      <c r="L58" s="3">
        <f>'Tariff Database'!W63</f>
        <v/>
      </c>
      <c r="M58" s="3">
        <f>'Tariff Database'!X63</f>
        <v/>
      </c>
      <c r="N58" s="3">
        <f>'Tariff Database'!AA63</f>
        <v/>
      </c>
      <c r="O58" s="3">
        <f>'Tariff Database'!AB63</f>
        <v/>
      </c>
    </row>
    <row r="59">
      <c r="A59" s="3" t="n">
        <v>58</v>
      </c>
      <c r="B59" s="3">
        <f>'Tariff Database'!B65</f>
        <v/>
      </c>
      <c r="C59" s="3">
        <f>'Tariff Database'!C65</f>
        <v/>
      </c>
      <c r="D59" s="3">
        <f>'Tariff Database'!J65</f>
        <v/>
      </c>
      <c r="E59" s="3">
        <f>'Tariff Database'!Q65</f>
        <v/>
      </c>
      <c r="F59" s="3">
        <f>'Tariff Database'!P65</f>
        <v/>
      </c>
      <c r="G59" s="3">
        <f>'Tariff Database'!S65</f>
        <v/>
      </c>
      <c r="H59" s="3">
        <f>'Tariff Database'!T65</f>
        <v/>
      </c>
      <c r="I59" s="3">
        <f>'Tariff Database'!U65</f>
        <v/>
      </c>
      <c r="J59" s="3">
        <f>'Tariff Database'!R65</f>
        <v/>
      </c>
      <c r="K59" s="3">
        <f>'Tariff Database'!V65</f>
        <v/>
      </c>
      <c r="L59" s="3">
        <f>'Tariff Database'!W65</f>
        <v/>
      </c>
      <c r="M59" s="3">
        <f>'Tariff Database'!X65</f>
        <v/>
      </c>
      <c r="N59" s="3">
        <f>'Tariff Database'!AA65</f>
        <v/>
      </c>
      <c r="O59" s="3">
        <f>'Tariff Database'!AB65</f>
        <v/>
      </c>
    </row>
    <row r="60">
      <c r="A60" s="3" t="n">
        <v>59</v>
      </c>
      <c r="B60" s="3">
        <f>'Tariff Database'!B66</f>
        <v/>
      </c>
      <c r="C60" s="3">
        <f>'Tariff Database'!C66</f>
        <v/>
      </c>
      <c r="D60" s="3">
        <f>'Tariff Database'!J66</f>
        <v/>
      </c>
      <c r="E60" s="3">
        <f>'Tariff Database'!Q66</f>
        <v/>
      </c>
      <c r="F60" s="3">
        <f>'Tariff Database'!P66</f>
        <v/>
      </c>
      <c r="G60" s="3">
        <f>'Tariff Database'!S66</f>
        <v/>
      </c>
      <c r="H60" s="3">
        <f>'Tariff Database'!T66</f>
        <v/>
      </c>
      <c r="I60" s="3">
        <f>'Tariff Database'!U66</f>
        <v/>
      </c>
      <c r="J60" s="3">
        <f>'Tariff Database'!R66</f>
        <v/>
      </c>
      <c r="K60" s="3">
        <f>'Tariff Database'!V66</f>
        <v/>
      </c>
      <c r="L60" s="3">
        <f>'Tariff Database'!W66</f>
        <v/>
      </c>
      <c r="M60" s="3">
        <f>'Tariff Database'!X66</f>
        <v/>
      </c>
      <c r="N60" s="3">
        <f>'Tariff Database'!AA66</f>
        <v/>
      </c>
      <c r="O60" s="3">
        <f>'Tariff Database'!AB66</f>
        <v/>
      </c>
    </row>
    <row r="61">
      <c r="A61" s="3" t="n">
        <v>60</v>
      </c>
      <c r="B61" s="3">
        <f>'Tariff Database'!B67</f>
        <v/>
      </c>
      <c r="C61" s="3">
        <f>'Tariff Database'!C67</f>
        <v/>
      </c>
      <c r="D61" s="3">
        <f>'Tariff Database'!J67</f>
        <v/>
      </c>
      <c r="E61" s="3">
        <f>'Tariff Database'!Q67</f>
        <v/>
      </c>
      <c r="F61" s="3">
        <f>'Tariff Database'!P67</f>
        <v/>
      </c>
      <c r="G61" s="3">
        <f>'Tariff Database'!S67</f>
        <v/>
      </c>
      <c r="H61" s="3">
        <f>'Tariff Database'!T67</f>
        <v/>
      </c>
      <c r="I61" s="3">
        <f>'Tariff Database'!U67</f>
        <v/>
      </c>
      <c r="J61" s="3">
        <f>'Tariff Database'!R67</f>
        <v/>
      </c>
      <c r="K61" s="3">
        <f>'Tariff Database'!V67</f>
        <v/>
      </c>
      <c r="L61" s="3">
        <f>'Tariff Database'!W67</f>
        <v/>
      </c>
      <c r="M61" s="3">
        <f>'Tariff Database'!X67</f>
        <v/>
      </c>
      <c r="N61" s="3">
        <f>'Tariff Database'!AA67</f>
        <v/>
      </c>
      <c r="O61" s="3">
        <f>'Tariff Database'!AB67</f>
        <v/>
      </c>
    </row>
    <row r="62">
      <c r="A62" s="3" t="n">
        <v>61</v>
      </c>
      <c r="B62" s="3">
        <f>'Tariff Database'!B68</f>
        <v/>
      </c>
      <c r="C62" s="3">
        <f>'Tariff Database'!C68</f>
        <v/>
      </c>
      <c r="D62" s="3">
        <f>'Tariff Database'!J68</f>
        <v/>
      </c>
      <c r="E62" s="3">
        <f>'Tariff Database'!Q68</f>
        <v/>
      </c>
      <c r="F62" s="3">
        <f>'Tariff Database'!P68</f>
        <v/>
      </c>
      <c r="G62" s="3">
        <f>'Tariff Database'!S68</f>
        <v/>
      </c>
      <c r="H62" s="3">
        <f>'Tariff Database'!T68</f>
        <v/>
      </c>
      <c r="I62" s="3">
        <f>'Tariff Database'!U68</f>
        <v/>
      </c>
      <c r="J62" s="3">
        <f>'Tariff Database'!R68</f>
        <v/>
      </c>
      <c r="K62" s="3">
        <f>'Tariff Database'!V68</f>
        <v/>
      </c>
      <c r="L62" s="3">
        <f>'Tariff Database'!W68</f>
        <v/>
      </c>
      <c r="M62" s="3">
        <f>'Tariff Database'!X68</f>
        <v/>
      </c>
      <c r="N62" s="3">
        <f>'Tariff Database'!AA68</f>
        <v/>
      </c>
      <c r="O62" s="3">
        <f>'Tariff Database'!AB68</f>
        <v/>
      </c>
    </row>
    <row r="63">
      <c r="A63" s="3" t="n">
        <v>62</v>
      </c>
      <c r="B63" s="3">
        <f>'Tariff Database'!B69</f>
        <v/>
      </c>
      <c r="C63" s="3">
        <f>'Tariff Database'!C69</f>
        <v/>
      </c>
      <c r="D63" s="3">
        <f>'Tariff Database'!J69</f>
        <v/>
      </c>
      <c r="E63" s="3">
        <f>'Tariff Database'!Q69</f>
        <v/>
      </c>
      <c r="F63" s="3">
        <f>'Tariff Database'!P69</f>
        <v/>
      </c>
      <c r="G63" s="3">
        <f>'Tariff Database'!S69</f>
        <v/>
      </c>
      <c r="H63" s="3">
        <f>'Tariff Database'!T69</f>
        <v/>
      </c>
      <c r="I63" s="3">
        <f>'Tariff Database'!U69</f>
        <v/>
      </c>
      <c r="J63" s="3">
        <f>'Tariff Database'!R69</f>
        <v/>
      </c>
      <c r="K63" s="3">
        <f>'Tariff Database'!V69</f>
        <v/>
      </c>
      <c r="L63" s="3">
        <f>'Tariff Database'!W69</f>
        <v/>
      </c>
      <c r="M63" s="3">
        <f>'Tariff Database'!X69</f>
        <v/>
      </c>
      <c r="N63" s="3">
        <f>'Tariff Database'!AA69</f>
        <v/>
      </c>
      <c r="O63" s="3">
        <f>'Tariff Database'!AB69</f>
        <v/>
      </c>
    </row>
    <row r="64">
      <c r="A64" s="3" t="n">
        <v>63</v>
      </c>
      <c r="B64" s="3">
        <f>'Tariff Database'!B70</f>
        <v/>
      </c>
      <c r="C64" s="3">
        <f>'Tariff Database'!C70</f>
        <v/>
      </c>
      <c r="D64" s="3">
        <f>'Tariff Database'!J70</f>
        <v/>
      </c>
      <c r="E64" s="3">
        <f>'Tariff Database'!Q70</f>
        <v/>
      </c>
      <c r="F64" s="3">
        <f>'Tariff Database'!P70</f>
        <v/>
      </c>
      <c r="G64" s="3">
        <f>'Tariff Database'!S70</f>
        <v/>
      </c>
      <c r="H64" s="3">
        <f>'Tariff Database'!T70</f>
        <v/>
      </c>
      <c r="I64" s="3">
        <f>'Tariff Database'!U70</f>
        <v/>
      </c>
      <c r="J64" s="3">
        <f>'Tariff Database'!R70</f>
        <v/>
      </c>
      <c r="K64" s="3">
        <f>'Tariff Database'!V70</f>
        <v/>
      </c>
      <c r="L64" s="3">
        <f>'Tariff Database'!W70</f>
        <v/>
      </c>
      <c r="M64" s="3">
        <f>'Tariff Database'!X70</f>
        <v/>
      </c>
      <c r="N64" s="3">
        <f>'Tariff Database'!AA70</f>
        <v/>
      </c>
      <c r="O64" s="3">
        <f>'Tariff Database'!AB70</f>
        <v/>
      </c>
    </row>
    <row r="65">
      <c r="A65" s="3" t="n">
        <v>64</v>
      </c>
      <c r="B65" s="3">
        <f>'Tariff Database'!B71</f>
        <v/>
      </c>
      <c r="C65" s="3">
        <f>'Tariff Database'!C71</f>
        <v/>
      </c>
      <c r="D65" s="3">
        <f>'Tariff Database'!J71</f>
        <v/>
      </c>
      <c r="E65" s="3">
        <f>'Tariff Database'!Q71</f>
        <v/>
      </c>
      <c r="F65" s="3">
        <f>'Tariff Database'!P71</f>
        <v/>
      </c>
      <c r="G65" s="3">
        <f>'Tariff Database'!S71</f>
        <v/>
      </c>
      <c r="H65" s="3">
        <f>'Tariff Database'!T71</f>
        <v/>
      </c>
      <c r="I65" s="3">
        <f>'Tariff Database'!U71</f>
        <v/>
      </c>
      <c r="J65" s="3">
        <f>'Tariff Database'!R71</f>
        <v/>
      </c>
      <c r="K65" s="3">
        <f>'Tariff Database'!V71</f>
        <v/>
      </c>
      <c r="L65" s="3">
        <f>'Tariff Database'!W71</f>
        <v/>
      </c>
      <c r="M65" s="3">
        <f>'Tariff Database'!X71</f>
        <v/>
      </c>
      <c r="N65" s="3">
        <f>'Tariff Database'!AA71</f>
        <v/>
      </c>
      <c r="O65" s="3">
        <f>'Tariff Database'!AB71</f>
        <v/>
      </c>
    </row>
    <row r="66">
      <c r="A66" s="3" t="n">
        <v>65</v>
      </c>
      <c r="B66" s="3">
        <f>'Tariff Database'!B72</f>
        <v/>
      </c>
      <c r="C66" s="3">
        <f>'Tariff Database'!C72</f>
        <v/>
      </c>
      <c r="D66" s="3">
        <f>'Tariff Database'!J72</f>
        <v/>
      </c>
      <c r="E66" s="3">
        <f>'Tariff Database'!Q72</f>
        <v/>
      </c>
      <c r="F66" s="3">
        <f>'Tariff Database'!P72</f>
        <v/>
      </c>
      <c r="G66" s="3">
        <f>'Tariff Database'!S72</f>
        <v/>
      </c>
      <c r="H66" s="3">
        <f>'Tariff Database'!T72</f>
        <v/>
      </c>
      <c r="I66" s="3">
        <f>'Tariff Database'!U72</f>
        <v/>
      </c>
      <c r="J66" s="3">
        <f>'Tariff Database'!R72</f>
        <v/>
      </c>
      <c r="K66" s="3">
        <f>'Tariff Database'!V72</f>
        <v/>
      </c>
      <c r="L66" s="3">
        <f>'Tariff Database'!W72</f>
        <v/>
      </c>
      <c r="M66" s="3">
        <f>'Tariff Database'!X72</f>
        <v/>
      </c>
      <c r="N66" s="3">
        <f>'Tariff Database'!AA72</f>
        <v/>
      </c>
      <c r="O66" s="3">
        <f>'Tariff Database'!AB72</f>
        <v/>
      </c>
    </row>
    <row r="67">
      <c r="A67" s="3" t="n">
        <v>66</v>
      </c>
      <c r="B67" s="3">
        <f>'Tariff Database'!B73</f>
        <v/>
      </c>
      <c r="C67" s="3">
        <f>'Tariff Database'!C73</f>
        <v/>
      </c>
      <c r="D67" s="3">
        <f>'Tariff Database'!J73</f>
        <v/>
      </c>
      <c r="E67" s="3">
        <f>'Tariff Database'!Q73</f>
        <v/>
      </c>
      <c r="F67" s="3">
        <f>'Tariff Database'!P73</f>
        <v/>
      </c>
      <c r="G67" s="3">
        <f>'Tariff Database'!S73</f>
        <v/>
      </c>
      <c r="H67" s="3">
        <f>'Tariff Database'!T73</f>
        <v/>
      </c>
      <c r="I67" s="3">
        <f>'Tariff Database'!U73</f>
        <v/>
      </c>
      <c r="J67" s="3">
        <f>'Tariff Database'!R73</f>
        <v/>
      </c>
      <c r="K67" s="3">
        <f>'Tariff Database'!V73</f>
        <v/>
      </c>
      <c r="L67" s="3">
        <f>'Tariff Database'!W73</f>
        <v/>
      </c>
      <c r="M67" s="3">
        <f>'Tariff Database'!X73</f>
        <v/>
      </c>
      <c r="N67" s="3">
        <f>'Tariff Database'!AA73</f>
        <v/>
      </c>
      <c r="O67" s="3">
        <f>'Tariff Database'!AB73</f>
        <v/>
      </c>
    </row>
    <row r="68">
      <c r="A68" s="3" t="n">
        <v>67</v>
      </c>
      <c r="B68" s="3">
        <f>'Tariff Database'!B74</f>
        <v/>
      </c>
      <c r="C68" s="3">
        <f>'Tariff Database'!C74</f>
        <v/>
      </c>
      <c r="D68" s="3">
        <f>'Tariff Database'!J74</f>
        <v/>
      </c>
      <c r="E68" s="3">
        <f>'Tariff Database'!Q74</f>
        <v/>
      </c>
      <c r="F68" s="3">
        <f>'Tariff Database'!P74</f>
        <v/>
      </c>
      <c r="G68" s="3">
        <f>'Tariff Database'!S74</f>
        <v/>
      </c>
      <c r="H68" s="3">
        <f>'Tariff Database'!T74</f>
        <v/>
      </c>
      <c r="I68" s="3">
        <f>'Tariff Database'!U74</f>
        <v/>
      </c>
      <c r="J68" s="3">
        <f>'Tariff Database'!R74</f>
        <v/>
      </c>
      <c r="K68" s="3">
        <f>'Tariff Database'!V74</f>
        <v/>
      </c>
      <c r="L68" s="3">
        <f>'Tariff Database'!W74</f>
        <v/>
      </c>
      <c r="M68" s="3">
        <f>'Tariff Database'!X74</f>
        <v/>
      </c>
      <c r="N68" s="3">
        <f>'Tariff Database'!AA74</f>
        <v/>
      </c>
      <c r="O68" s="3">
        <f>'Tariff Database'!AB74</f>
        <v/>
      </c>
    </row>
    <row r="69">
      <c r="A69" s="3" t="n">
        <v>68</v>
      </c>
      <c r="B69" s="3">
        <f>'Tariff Database'!B4</f>
        <v/>
      </c>
      <c r="C69" s="3">
        <f>'Tariff Database'!C4</f>
        <v/>
      </c>
      <c r="D69" s="3">
        <f>'Tariff Database'!J4</f>
        <v/>
      </c>
      <c r="E69" s="3">
        <f>'Tariff Database'!Q4</f>
        <v/>
      </c>
      <c r="F69" s="3">
        <f>'Tariff Database'!P4</f>
        <v/>
      </c>
      <c r="G69" s="3">
        <f>'Tariff Database'!S4</f>
        <v/>
      </c>
      <c r="H69" s="3">
        <f>'Tariff Database'!T4</f>
        <v/>
      </c>
      <c r="I69" s="3">
        <f>'Tariff Database'!U4</f>
        <v/>
      </c>
      <c r="J69" s="3">
        <f>'Tariff Database'!R4</f>
        <v/>
      </c>
      <c r="K69" s="3">
        <f>'Tariff Database'!V4</f>
        <v/>
      </c>
      <c r="L69" s="3">
        <f>'Tariff Database'!W4</f>
        <v/>
      </c>
      <c r="M69" s="3">
        <f>'Tariff Database'!X4</f>
        <v/>
      </c>
      <c r="N69" s="3">
        <f>'Tariff Database'!AA4</f>
        <v/>
      </c>
      <c r="O69" s="3">
        <f>'Tariff Database'!AB4</f>
        <v/>
      </c>
    </row>
    <row r="70">
      <c r="A70" s="3" t="n">
        <v>69</v>
      </c>
      <c r="B70" s="3">
        <f>'Tariff Database'!B7</f>
        <v/>
      </c>
      <c r="C70" s="3">
        <f>'Tariff Database'!C7</f>
        <v/>
      </c>
      <c r="D70" s="3">
        <f>'Tariff Database'!J7</f>
        <v/>
      </c>
      <c r="E70" s="3">
        <f>'Tariff Database'!Q7</f>
        <v/>
      </c>
      <c r="F70" s="3">
        <f>'Tariff Database'!P7</f>
        <v/>
      </c>
      <c r="G70" s="3">
        <f>'Tariff Database'!S7</f>
        <v/>
      </c>
      <c r="H70" s="3">
        <f>'Tariff Database'!T7</f>
        <v/>
      </c>
      <c r="I70" s="3">
        <f>'Tariff Database'!U7</f>
        <v/>
      </c>
      <c r="J70" s="3">
        <f>'Tariff Database'!R7</f>
        <v/>
      </c>
      <c r="K70" s="3">
        <f>'Tariff Database'!V7</f>
        <v/>
      </c>
      <c r="L70" s="3">
        <f>'Tariff Database'!W7</f>
        <v/>
      </c>
      <c r="M70" s="3">
        <f>'Tariff Database'!X7</f>
        <v/>
      </c>
      <c r="N70" s="3">
        <f>'Tariff Database'!AA7</f>
        <v/>
      </c>
      <c r="O70" s="3">
        <f>'Tariff Database'!AB7</f>
        <v/>
      </c>
    </row>
    <row r="71">
      <c r="A71" s="3" t="n">
        <v>70</v>
      </c>
      <c r="B71" s="3">
        <f>'Tariff Database'!B8</f>
        <v/>
      </c>
      <c r="C71" s="3">
        <f>'Tariff Database'!C8</f>
        <v/>
      </c>
      <c r="D71" s="3">
        <f>'Tariff Database'!J8</f>
        <v/>
      </c>
      <c r="E71" s="3">
        <f>'Tariff Database'!Q8</f>
        <v/>
      </c>
      <c r="F71" s="3">
        <f>'Tariff Database'!P8</f>
        <v/>
      </c>
      <c r="G71" s="3">
        <f>'Tariff Database'!S8</f>
        <v/>
      </c>
      <c r="H71" s="3">
        <f>'Tariff Database'!T8</f>
        <v/>
      </c>
      <c r="I71" s="3">
        <f>'Tariff Database'!U8</f>
        <v/>
      </c>
      <c r="J71" s="3">
        <f>'Tariff Database'!R8</f>
        <v/>
      </c>
      <c r="K71" s="3">
        <f>'Tariff Database'!V8</f>
        <v/>
      </c>
      <c r="L71" s="3">
        <f>'Tariff Database'!W8</f>
        <v/>
      </c>
      <c r="M71" s="3">
        <f>'Tariff Database'!X8</f>
        <v/>
      </c>
      <c r="N71" s="3">
        <f>'Tariff Database'!AA8</f>
        <v/>
      </c>
      <c r="O71" s="3">
        <f>'Tariff Database'!AB8</f>
        <v/>
      </c>
    </row>
    <row r="72">
      <c r="A72" s="3" t="n">
        <v>71</v>
      </c>
      <c r="B72" s="3">
        <f>'Tariff Database'!B26</f>
        <v/>
      </c>
      <c r="C72" s="3">
        <f>'Tariff Database'!C26</f>
        <v/>
      </c>
      <c r="D72" s="3">
        <f>'Tariff Database'!J26</f>
        <v/>
      </c>
      <c r="E72" s="3">
        <f>'Tariff Database'!Q26</f>
        <v/>
      </c>
      <c r="F72" s="3">
        <f>'Tariff Database'!P26</f>
        <v/>
      </c>
      <c r="G72" s="3">
        <f>'Tariff Database'!S26</f>
        <v/>
      </c>
      <c r="H72" s="3">
        <f>'Tariff Database'!T26</f>
        <v/>
      </c>
      <c r="I72" s="3">
        <f>'Tariff Database'!U26</f>
        <v/>
      </c>
      <c r="J72" s="3">
        <f>'Tariff Database'!R26</f>
        <v/>
      </c>
      <c r="K72" s="3">
        <f>'Tariff Database'!V26</f>
        <v/>
      </c>
      <c r="L72" s="3">
        <f>'Tariff Database'!W26</f>
        <v/>
      </c>
      <c r="M72" s="3">
        <f>'Tariff Database'!X26</f>
        <v/>
      </c>
      <c r="N72" s="3">
        <f>'Tariff Database'!AA26</f>
        <v/>
      </c>
      <c r="O72" s="3">
        <f>'Tariff Database'!AB26</f>
        <v/>
      </c>
    </row>
    <row r="73">
      <c r="A73" s="3" t="n">
        <v>72</v>
      </c>
      <c r="B73" s="3">
        <f>'Tariff Database'!B27</f>
        <v/>
      </c>
      <c r="C73" s="3">
        <f>'Tariff Database'!C27</f>
        <v/>
      </c>
      <c r="D73" s="3">
        <f>'Tariff Database'!J27</f>
        <v/>
      </c>
      <c r="E73" s="3">
        <f>'Tariff Database'!Q27</f>
        <v/>
      </c>
      <c r="F73" s="3">
        <f>'Tariff Database'!P27</f>
        <v/>
      </c>
      <c r="G73" s="3">
        <f>'Tariff Database'!S27</f>
        <v/>
      </c>
      <c r="H73" s="3">
        <f>'Tariff Database'!T27</f>
        <v/>
      </c>
      <c r="I73" s="3">
        <f>'Tariff Database'!U27</f>
        <v/>
      </c>
      <c r="J73" s="3">
        <f>'Tariff Database'!R27</f>
        <v/>
      </c>
      <c r="K73" s="3">
        <f>'Tariff Database'!V27</f>
        <v/>
      </c>
      <c r="L73" s="3">
        <f>'Tariff Database'!W27</f>
        <v/>
      </c>
      <c r="M73" s="3">
        <f>'Tariff Database'!X27</f>
        <v/>
      </c>
      <c r="N73" s="3">
        <f>'Tariff Database'!AA27</f>
        <v/>
      </c>
      <c r="O73" s="3">
        <f>'Tariff Database'!AB27</f>
        <v/>
      </c>
    </row>
    <row r="74">
      <c r="A74" s="3" t="n">
        <v>73</v>
      </c>
      <c r="B74" s="3">
        <f>'Tariff Database'!B75</f>
        <v/>
      </c>
      <c r="C74" s="3">
        <f>'Tariff Database'!C75</f>
        <v/>
      </c>
      <c r="D74" s="3">
        <f>'Tariff Database'!J75</f>
        <v/>
      </c>
      <c r="E74" s="3">
        <f>'Tariff Database'!Q75</f>
        <v/>
      </c>
      <c r="F74" s="3">
        <f>'Tariff Database'!P75</f>
        <v/>
      </c>
      <c r="G74" s="3">
        <f>'Tariff Database'!S75</f>
        <v/>
      </c>
      <c r="H74" s="3">
        <f>'Tariff Database'!T75</f>
        <v/>
      </c>
      <c r="I74" s="3">
        <f>'Tariff Database'!U75</f>
        <v/>
      </c>
      <c r="J74" s="3">
        <f>'Tariff Database'!R75</f>
        <v/>
      </c>
      <c r="K74" s="3">
        <f>'Tariff Database'!V75</f>
        <v/>
      </c>
      <c r="L74" s="3">
        <f>'Tariff Database'!W75</f>
        <v/>
      </c>
      <c r="M74" s="3">
        <f>'Tariff Database'!X75</f>
        <v/>
      </c>
      <c r="N74" s="3">
        <f>'Tariff Database'!AA75</f>
        <v/>
      </c>
      <c r="O74" s="3">
        <f>'Tariff Database'!AB75</f>
        <v/>
      </c>
    </row>
    <row r="75">
      <c r="A75" s="3" t="n">
        <v>74</v>
      </c>
      <c r="B75" s="3">
        <f>'Tariff Database'!B76</f>
        <v/>
      </c>
      <c r="C75" s="3">
        <f>'Tariff Database'!C76</f>
        <v/>
      </c>
      <c r="D75" s="3">
        <f>'Tariff Database'!J76</f>
        <v/>
      </c>
      <c r="E75" s="3">
        <f>'Tariff Database'!Q76</f>
        <v/>
      </c>
      <c r="F75" s="3">
        <f>'Tariff Database'!P76</f>
        <v/>
      </c>
      <c r="G75" s="3">
        <f>'Tariff Database'!S76</f>
        <v/>
      </c>
      <c r="H75" s="3">
        <f>'Tariff Database'!T76</f>
        <v/>
      </c>
      <c r="I75" s="3">
        <f>'Tariff Database'!U76</f>
        <v/>
      </c>
      <c r="J75" s="3">
        <f>'Tariff Database'!R76</f>
        <v/>
      </c>
      <c r="K75" s="3">
        <f>'Tariff Database'!V76</f>
        <v/>
      </c>
      <c r="L75" s="3">
        <f>'Tariff Database'!W76</f>
        <v/>
      </c>
      <c r="M75" s="3">
        <f>'Tariff Database'!X76</f>
        <v/>
      </c>
      <c r="N75" s="3">
        <f>'Tariff Database'!AA76</f>
        <v/>
      </c>
      <c r="O75" s="3">
        <f>'Tariff Database'!AB76</f>
        <v/>
      </c>
    </row>
    <row r="76">
      <c r="A76" s="3" t="n">
        <v>75</v>
      </c>
      <c r="B76" s="3">
        <f>'Tariff Database'!B77</f>
        <v/>
      </c>
      <c r="C76" s="3">
        <f>'Tariff Database'!C77</f>
        <v/>
      </c>
      <c r="D76" s="3">
        <f>'Tariff Database'!J77</f>
        <v/>
      </c>
      <c r="E76" s="3">
        <f>'Tariff Database'!Q77</f>
        <v/>
      </c>
      <c r="F76" s="3">
        <f>'Tariff Database'!P77</f>
        <v/>
      </c>
      <c r="G76" s="3">
        <f>'Tariff Database'!S77</f>
        <v/>
      </c>
      <c r="H76" s="3">
        <f>'Tariff Database'!T77</f>
        <v/>
      </c>
      <c r="I76" s="3">
        <f>'Tariff Database'!U77</f>
        <v/>
      </c>
      <c r="J76" s="3">
        <f>'Tariff Database'!R77</f>
        <v/>
      </c>
      <c r="K76" s="3">
        <f>'Tariff Database'!V77</f>
        <v/>
      </c>
      <c r="L76" s="3">
        <f>'Tariff Database'!W77</f>
        <v/>
      </c>
      <c r="M76" s="3">
        <f>'Tariff Database'!X77</f>
        <v/>
      </c>
      <c r="N76" s="3">
        <f>'Tariff Database'!AA77</f>
        <v/>
      </c>
      <c r="O76" s="3">
        <f>'Tariff Database'!AB77</f>
        <v/>
      </c>
    </row>
    <row r="77">
      <c r="A77" s="3" t="n">
        <v>76</v>
      </c>
      <c r="B77" s="3">
        <f>'Tariff Database'!B78</f>
        <v/>
      </c>
      <c r="C77" s="3">
        <f>'Tariff Database'!C78</f>
        <v/>
      </c>
      <c r="D77" s="3">
        <f>'Tariff Database'!J78</f>
        <v/>
      </c>
      <c r="E77" s="3">
        <f>'Tariff Database'!Q78</f>
        <v/>
      </c>
      <c r="F77" s="3">
        <f>'Tariff Database'!P78</f>
        <v/>
      </c>
      <c r="G77" s="3">
        <f>'Tariff Database'!S78</f>
        <v/>
      </c>
      <c r="H77" s="3">
        <f>'Tariff Database'!T78</f>
        <v/>
      </c>
      <c r="I77" s="3">
        <f>'Tariff Database'!U78</f>
        <v/>
      </c>
      <c r="J77" s="3">
        <f>'Tariff Database'!R78</f>
        <v/>
      </c>
      <c r="K77" s="3">
        <f>'Tariff Database'!V78</f>
        <v/>
      </c>
      <c r="L77" s="3">
        <f>'Tariff Database'!W78</f>
        <v/>
      </c>
      <c r="M77" s="3">
        <f>'Tariff Database'!X78</f>
        <v/>
      </c>
      <c r="N77" s="3">
        <f>'Tariff Database'!AA78</f>
        <v/>
      </c>
      <c r="O77" s="3">
        <f>'Tariff Database'!AB78</f>
        <v/>
      </c>
    </row>
    <row r="78">
      <c r="A78" s="3" t="n">
        <v>77</v>
      </c>
      <c r="B78" s="3">
        <f>'Tariff Database'!B79</f>
        <v/>
      </c>
      <c r="C78" s="3">
        <f>'Tariff Database'!C79</f>
        <v/>
      </c>
      <c r="D78" s="3">
        <f>'Tariff Database'!J79</f>
        <v/>
      </c>
      <c r="E78" s="3">
        <f>'Tariff Database'!Q79</f>
        <v/>
      </c>
      <c r="F78" s="3">
        <f>'Tariff Database'!P79</f>
        <v/>
      </c>
      <c r="G78" s="3">
        <f>'Tariff Database'!S79</f>
        <v/>
      </c>
      <c r="H78" s="3">
        <f>'Tariff Database'!T79</f>
        <v/>
      </c>
      <c r="I78" s="3">
        <f>'Tariff Database'!U79</f>
        <v/>
      </c>
      <c r="J78" s="3">
        <f>'Tariff Database'!R79</f>
        <v/>
      </c>
      <c r="K78" s="3">
        <f>'Tariff Database'!V79</f>
        <v/>
      </c>
      <c r="L78" s="3">
        <f>'Tariff Database'!W79</f>
        <v/>
      </c>
      <c r="M78" s="3">
        <f>'Tariff Database'!X79</f>
        <v/>
      </c>
      <c r="N78" s="3">
        <f>'Tariff Database'!AA79</f>
        <v/>
      </c>
      <c r="O78" s="3">
        <f>'Tariff Database'!AB79</f>
        <v/>
      </c>
    </row>
    <row r="79">
      <c r="A79" s="3" t="n">
        <v>78</v>
      </c>
      <c r="B79" s="3">
        <f>'Tariff Database'!B80</f>
        <v/>
      </c>
      <c r="C79" s="3">
        <f>'Tariff Database'!C80</f>
        <v/>
      </c>
      <c r="D79" s="3">
        <f>'Tariff Database'!J80</f>
        <v/>
      </c>
      <c r="E79" s="3">
        <f>'Tariff Database'!Q80</f>
        <v/>
      </c>
      <c r="F79" s="3">
        <f>'Tariff Database'!P80</f>
        <v/>
      </c>
      <c r="G79" s="3">
        <f>'Tariff Database'!S80</f>
        <v/>
      </c>
      <c r="H79" s="3">
        <f>'Tariff Database'!T80</f>
        <v/>
      </c>
      <c r="I79" s="3">
        <f>'Tariff Database'!U80</f>
        <v/>
      </c>
      <c r="J79" s="3">
        <f>'Tariff Database'!R80</f>
        <v/>
      </c>
      <c r="K79" s="3">
        <f>'Tariff Database'!V80</f>
        <v/>
      </c>
      <c r="L79" s="3">
        <f>'Tariff Database'!W80</f>
        <v/>
      </c>
      <c r="M79" s="3">
        <f>'Tariff Database'!X80</f>
        <v/>
      </c>
      <c r="N79" s="3">
        <f>'Tariff Database'!AA80</f>
        <v/>
      </c>
      <c r="O79" s="3">
        <f>'Tariff Database'!AB80</f>
        <v/>
      </c>
    </row>
    <row r="80">
      <c r="A80" s="3" t="n">
        <v>79</v>
      </c>
      <c r="B80" s="3">
        <f>'Tariff Database'!B81</f>
        <v/>
      </c>
      <c r="C80" s="3">
        <f>'Tariff Database'!C81</f>
        <v/>
      </c>
      <c r="D80" s="3">
        <f>'Tariff Database'!J81</f>
        <v/>
      </c>
      <c r="E80" s="3">
        <f>'Tariff Database'!Q81</f>
        <v/>
      </c>
      <c r="F80" s="3">
        <f>'Tariff Database'!P81</f>
        <v/>
      </c>
      <c r="G80" s="3">
        <f>'Tariff Database'!S81</f>
        <v/>
      </c>
      <c r="H80" s="3">
        <f>'Tariff Database'!T81</f>
        <v/>
      </c>
      <c r="I80" s="3">
        <f>'Tariff Database'!U81</f>
        <v/>
      </c>
      <c r="J80" s="3">
        <f>'Tariff Database'!R81</f>
        <v/>
      </c>
      <c r="K80" s="3">
        <f>'Tariff Database'!V81</f>
        <v/>
      </c>
      <c r="L80" s="3">
        <f>'Tariff Database'!W81</f>
        <v/>
      </c>
      <c r="M80" s="3">
        <f>'Tariff Database'!X81</f>
        <v/>
      </c>
      <c r="N80" s="3">
        <f>'Tariff Database'!AA81</f>
        <v/>
      </c>
      <c r="O80" s="3">
        <f>'Tariff Database'!AB81</f>
        <v/>
      </c>
    </row>
    <row r="81">
      <c r="A81" s="3" t="n">
        <v>80</v>
      </c>
      <c r="B81" s="3">
        <f>'Tariff Database'!B82</f>
        <v/>
      </c>
      <c r="C81" s="3">
        <f>'Tariff Database'!C82</f>
        <v/>
      </c>
      <c r="D81" s="3">
        <f>'Tariff Database'!J82</f>
        <v/>
      </c>
      <c r="E81" s="3">
        <f>'Tariff Database'!Q82</f>
        <v/>
      </c>
      <c r="F81" s="3">
        <f>'Tariff Database'!P82</f>
        <v/>
      </c>
      <c r="G81" s="3">
        <f>'Tariff Database'!S82</f>
        <v/>
      </c>
      <c r="H81" s="3">
        <f>'Tariff Database'!T82</f>
        <v/>
      </c>
      <c r="I81" s="3">
        <f>'Tariff Database'!U82</f>
        <v/>
      </c>
      <c r="J81" s="3">
        <f>'Tariff Database'!R82</f>
        <v/>
      </c>
      <c r="K81" s="3">
        <f>'Tariff Database'!V82</f>
        <v/>
      </c>
      <c r="L81" s="3">
        <f>'Tariff Database'!W82</f>
        <v/>
      </c>
      <c r="M81" s="3">
        <f>'Tariff Database'!X82</f>
        <v/>
      </c>
      <c r="N81" s="3">
        <f>'Tariff Database'!AA82</f>
        <v/>
      </c>
      <c r="O81" s="3">
        <f>'Tariff Database'!AB82</f>
        <v/>
      </c>
    </row>
    <row r="82">
      <c r="A82" s="3" t="n">
        <v>81</v>
      </c>
      <c r="B82" s="3">
        <f>'Tariff Database'!B83</f>
        <v/>
      </c>
      <c r="C82" s="3">
        <f>'Tariff Database'!C83</f>
        <v/>
      </c>
      <c r="D82" s="3">
        <f>'Tariff Database'!J83</f>
        <v/>
      </c>
      <c r="E82" s="3">
        <f>'Tariff Database'!Q83</f>
        <v/>
      </c>
      <c r="F82" s="3">
        <f>'Tariff Database'!P83</f>
        <v/>
      </c>
      <c r="G82" s="3">
        <f>'Tariff Database'!S83</f>
        <v/>
      </c>
      <c r="H82" s="3">
        <f>'Tariff Database'!T83</f>
        <v/>
      </c>
      <c r="I82" s="3">
        <f>'Tariff Database'!U83</f>
        <v/>
      </c>
      <c r="J82" s="3">
        <f>'Tariff Database'!R83</f>
        <v/>
      </c>
      <c r="K82" s="3">
        <f>'Tariff Database'!V83</f>
        <v/>
      </c>
      <c r="L82" s="3">
        <f>'Tariff Database'!W83</f>
        <v/>
      </c>
      <c r="M82" s="3">
        <f>'Tariff Database'!X83</f>
        <v/>
      </c>
      <c r="N82" s="3">
        <f>'Tariff Database'!AA83</f>
        <v/>
      </c>
      <c r="O82" s="3">
        <f>'Tariff Database'!AB83</f>
        <v/>
      </c>
    </row>
    <row r="83">
      <c r="A83" s="3" t="n">
        <v>82</v>
      </c>
      <c r="B83" s="3">
        <f>'Tariff Database'!B84</f>
        <v/>
      </c>
      <c r="C83" s="3">
        <f>'Tariff Database'!C84</f>
        <v/>
      </c>
      <c r="D83" s="3">
        <f>'Tariff Database'!J84</f>
        <v/>
      </c>
      <c r="E83" s="3">
        <f>'Tariff Database'!Q84</f>
        <v/>
      </c>
      <c r="F83" s="3">
        <f>'Tariff Database'!P84</f>
        <v/>
      </c>
      <c r="G83" s="3">
        <f>'Tariff Database'!S84</f>
        <v/>
      </c>
      <c r="H83" s="3">
        <f>'Tariff Database'!T84</f>
        <v/>
      </c>
      <c r="I83" s="3">
        <f>'Tariff Database'!U84</f>
        <v/>
      </c>
      <c r="J83" s="3">
        <f>'Tariff Database'!R84</f>
        <v/>
      </c>
      <c r="K83" s="3">
        <f>'Tariff Database'!V84</f>
        <v/>
      </c>
      <c r="L83" s="3">
        <f>'Tariff Database'!W84</f>
        <v/>
      </c>
      <c r="M83" s="3">
        <f>'Tariff Database'!X84</f>
        <v/>
      </c>
      <c r="N83" s="3">
        <f>'Tariff Database'!AA84</f>
        <v/>
      </c>
      <c r="O83" s="3">
        <f>'Tariff Database'!AB84</f>
        <v/>
      </c>
    </row>
    <row r="84">
      <c r="A84" s="3" t="n">
        <v>83</v>
      </c>
      <c r="B84" s="3">
        <f>'Tariff Database'!B85</f>
        <v/>
      </c>
      <c r="C84" s="3">
        <f>'Tariff Database'!C85</f>
        <v/>
      </c>
      <c r="D84" s="3">
        <f>'Tariff Database'!J85</f>
        <v/>
      </c>
      <c r="E84" s="3">
        <f>'Tariff Database'!Q85</f>
        <v/>
      </c>
      <c r="F84" s="3">
        <f>'Tariff Database'!P85</f>
        <v/>
      </c>
      <c r="G84" s="3">
        <f>'Tariff Database'!S85</f>
        <v/>
      </c>
      <c r="H84" s="3">
        <f>'Tariff Database'!T85</f>
        <v/>
      </c>
      <c r="I84" s="3">
        <f>'Tariff Database'!U85</f>
        <v/>
      </c>
      <c r="J84" s="3">
        <f>'Tariff Database'!R85</f>
        <v/>
      </c>
      <c r="K84" s="3">
        <f>'Tariff Database'!V85</f>
        <v/>
      </c>
      <c r="L84" s="3">
        <f>'Tariff Database'!W85</f>
        <v/>
      </c>
      <c r="M84" s="3">
        <f>'Tariff Database'!X85</f>
        <v/>
      </c>
      <c r="N84" s="3">
        <f>'Tariff Database'!AA85</f>
        <v/>
      </c>
      <c r="O84" s="3">
        <f>'Tariff Database'!AB85</f>
        <v/>
      </c>
    </row>
    <row r="85">
      <c r="A85" s="3" t="n">
        <v>84</v>
      </c>
      <c r="B85" s="3">
        <f>'Tariff Database'!B86</f>
        <v/>
      </c>
      <c r="C85" s="3">
        <f>'Tariff Database'!C86</f>
        <v/>
      </c>
      <c r="D85" s="3">
        <f>'Tariff Database'!J86</f>
        <v/>
      </c>
      <c r="E85" s="3">
        <f>'Tariff Database'!Q86</f>
        <v/>
      </c>
      <c r="F85" s="3">
        <f>'Tariff Database'!P86</f>
        <v/>
      </c>
      <c r="G85" s="3">
        <f>'Tariff Database'!S86</f>
        <v/>
      </c>
      <c r="H85" s="3">
        <f>'Tariff Database'!T86</f>
        <v/>
      </c>
      <c r="I85" s="3">
        <f>'Tariff Database'!U86</f>
        <v/>
      </c>
      <c r="J85" s="3">
        <f>'Tariff Database'!R86</f>
        <v/>
      </c>
      <c r="K85" s="3">
        <f>'Tariff Database'!V86</f>
        <v/>
      </c>
      <c r="L85" s="3">
        <f>'Tariff Database'!W86</f>
        <v/>
      </c>
      <c r="M85" s="3">
        <f>'Tariff Database'!X86</f>
        <v/>
      </c>
      <c r="N85" s="3">
        <f>'Tariff Database'!AA86</f>
        <v/>
      </c>
      <c r="O85" s="3">
        <f>'Tariff Database'!AB86</f>
        <v/>
      </c>
    </row>
    <row r="86">
      <c r="A86" s="3" t="n">
        <v>85</v>
      </c>
      <c r="B86" s="3">
        <f>'Tariff Database'!B87</f>
        <v/>
      </c>
      <c r="C86" s="3">
        <f>'Tariff Database'!C87</f>
        <v/>
      </c>
      <c r="D86" s="3">
        <f>'Tariff Database'!J87</f>
        <v/>
      </c>
      <c r="E86" s="3">
        <f>'Tariff Database'!Q87</f>
        <v/>
      </c>
      <c r="F86" s="3">
        <f>'Tariff Database'!P87</f>
        <v/>
      </c>
      <c r="G86" s="3">
        <f>'Tariff Database'!S87</f>
        <v/>
      </c>
      <c r="H86" s="3">
        <f>'Tariff Database'!T87</f>
        <v/>
      </c>
      <c r="I86" s="3">
        <f>'Tariff Database'!U87</f>
        <v/>
      </c>
      <c r="J86" s="3">
        <f>'Tariff Database'!R87</f>
        <v/>
      </c>
      <c r="K86" s="3">
        <f>'Tariff Database'!V87</f>
        <v/>
      </c>
      <c r="L86" s="3">
        <f>'Tariff Database'!W87</f>
        <v/>
      </c>
      <c r="M86" s="3">
        <f>'Tariff Database'!X87</f>
        <v/>
      </c>
      <c r="N86" s="3">
        <f>'Tariff Database'!AA87</f>
        <v/>
      </c>
      <c r="O86" s="3">
        <f>'Tariff Database'!AB87</f>
        <v/>
      </c>
    </row>
    <row r="87">
      <c r="A87" s="3" t="n">
        <v>86</v>
      </c>
      <c r="B87" s="3">
        <f>'Tariff Database'!B88</f>
        <v/>
      </c>
      <c r="C87" s="3">
        <f>'Tariff Database'!C88</f>
        <v/>
      </c>
      <c r="D87" s="3">
        <f>'Tariff Database'!J88</f>
        <v/>
      </c>
      <c r="E87" s="3">
        <f>'Tariff Database'!Q88</f>
        <v/>
      </c>
      <c r="F87" s="3">
        <f>'Tariff Database'!P88</f>
        <v/>
      </c>
      <c r="G87" s="3">
        <f>'Tariff Database'!S88</f>
        <v/>
      </c>
      <c r="H87" s="3">
        <f>'Tariff Database'!T88</f>
        <v/>
      </c>
      <c r="I87" s="3">
        <f>'Tariff Database'!U88</f>
        <v/>
      </c>
      <c r="J87" s="3">
        <f>'Tariff Database'!R88</f>
        <v/>
      </c>
      <c r="K87" s="3">
        <f>'Tariff Database'!V88</f>
        <v/>
      </c>
      <c r="L87" s="3">
        <f>'Tariff Database'!W88</f>
        <v/>
      </c>
      <c r="M87" s="3">
        <f>'Tariff Database'!X88</f>
        <v/>
      </c>
      <c r="N87" s="3">
        <f>'Tariff Database'!AA88</f>
        <v/>
      </c>
      <c r="O87" s="3">
        <f>'Tariff Database'!AB88</f>
        <v/>
      </c>
    </row>
    <row r="88">
      <c r="A88" s="3" t="n">
        <v>87</v>
      </c>
      <c r="B88" s="3">
        <f>'Tariff Database'!B89</f>
        <v/>
      </c>
      <c r="C88" s="3">
        <f>'Tariff Database'!C89</f>
        <v/>
      </c>
      <c r="D88" s="3">
        <f>'Tariff Database'!J89</f>
        <v/>
      </c>
      <c r="E88" s="3">
        <f>'Tariff Database'!Q89</f>
        <v/>
      </c>
      <c r="F88" s="3">
        <f>'Tariff Database'!P89</f>
        <v/>
      </c>
      <c r="G88" s="3">
        <f>'Tariff Database'!S89</f>
        <v/>
      </c>
      <c r="H88" s="3">
        <f>'Tariff Database'!T89</f>
        <v/>
      </c>
      <c r="I88" s="3">
        <f>'Tariff Database'!U89</f>
        <v/>
      </c>
      <c r="J88" s="3">
        <f>'Tariff Database'!R89</f>
        <v/>
      </c>
      <c r="K88" s="3">
        <f>'Tariff Database'!V89</f>
        <v/>
      </c>
      <c r="L88" s="3">
        <f>'Tariff Database'!W89</f>
        <v/>
      </c>
      <c r="M88" s="3">
        <f>'Tariff Database'!X89</f>
        <v/>
      </c>
      <c r="N88" s="3">
        <f>'Tariff Database'!AA89</f>
        <v/>
      </c>
      <c r="O88" s="3">
        <f>'Tariff Database'!AB89</f>
        <v/>
      </c>
    </row>
    <row r="89">
      <c r="A89" s="3" t="n">
        <v>88</v>
      </c>
      <c r="B89" s="3">
        <f>'Tariff Database'!B90</f>
        <v/>
      </c>
      <c r="C89" s="3">
        <f>'Tariff Database'!C90</f>
        <v/>
      </c>
      <c r="D89" s="3">
        <f>'Tariff Database'!J90</f>
        <v/>
      </c>
      <c r="E89" s="3">
        <f>'Tariff Database'!Q90</f>
        <v/>
      </c>
      <c r="F89" s="3">
        <f>'Tariff Database'!P90</f>
        <v/>
      </c>
      <c r="G89" s="3">
        <f>'Tariff Database'!S90</f>
        <v/>
      </c>
      <c r="H89" s="3">
        <f>'Tariff Database'!T90</f>
        <v/>
      </c>
      <c r="I89" s="3">
        <f>'Tariff Database'!U90</f>
        <v/>
      </c>
      <c r="J89" s="3">
        <f>'Tariff Database'!R90</f>
        <v/>
      </c>
      <c r="K89" s="3">
        <f>'Tariff Database'!V90</f>
        <v/>
      </c>
      <c r="L89" s="3">
        <f>'Tariff Database'!W90</f>
        <v/>
      </c>
      <c r="M89" s="3">
        <f>'Tariff Database'!X90</f>
        <v/>
      </c>
      <c r="N89" s="3">
        <f>'Tariff Database'!AA90</f>
        <v/>
      </c>
      <c r="O89" s="3">
        <f>'Tariff Database'!AB90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47" activePane="bottomLeft" state="frozen"/>
      <selection pane="bottomLeft" activeCell="F88" sqref="F88"/>
    </sheetView>
  </sheetViews>
  <sheetFormatPr baseColWidth="10" defaultColWidth="8.83203125" defaultRowHeight="15"/>
  <cols>
    <col width="35" customWidth="1" min="1" max="1"/>
    <col width="50" customWidth="1" min="2" max="2"/>
    <col width="70" customWidth="1" min="3" max="3"/>
    <col width="35" customWidth="1" min="4" max="4"/>
    <col width="30" customWidth="1" min="5" max="5"/>
  </cols>
  <sheetData>
    <row r="1">
      <c r="A1" s="6" t="inlineStr">
        <is>
          <t>Utility</t>
        </is>
      </c>
      <c r="B1" s="6" t="inlineStr">
        <is>
          <t>Source Document</t>
        </is>
      </c>
      <c r="C1" s="6" t="inlineStr">
        <is>
          <t>URL</t>
        </is>
      </c>
      <c r="D1" s="6" t="inlineStr">
        <is>
          <t>Page/Table Reference</t>
        </is>
      </c>
      <c r="E1" s="6" t="inlineStr">
        <is>
          <t>Docket Number</t>
        </is>
      </c>
    </row>
    <row r="2">
      <c r="A2" s="3" t="inlineStr">
        <is>
          <t>Public Service Company of Oklahoma (PSO)</t>
        </is>
      </c>
      <c r="B2" s="3" t="inlineStr">
        <is>
          <t>PSO Large Commercial and Industrial Tariff, 9th Revised Sheet No. 20</t>
        </is>
      </c>
      <c r="C2" s="7" t="inlineStr">
        <is>
          <t>https://www.psoklahoma.com/lib/docs/ratesandtariffs/Oklahoma/PSOLargeCommercialandIndustrialFeb2025.pdf</t>
        </is>
      </c>
      <c r="D2" s="3" t="inlineStr">
        <is>
          <t>Sheet No. 20-3 (Minimum Monthly Demand)</t>
        </is>
      </c>
      <c r="E2" s="3" t="inlineStr">
        <is>
          <t>PUD 2023-000086 (Order 746624)</t>
        </is>
      </c>
    </row>
    <row r="3">
      <c r="A3" s="3" t="inlineStr">
        <is>
          <t>Oklahoma Gas &amp; Electric (OG&amp;E)</t>
        </is>
      </c>
      <c r="B3" s="3" t="inlineStr">
        <is>
          <t>OG&amp;E Oklahoma Rate Tariff, Schedule 19.00 OCT-1</t>
        </is>
      </c>
      <c r="C3" s="7" t="inlineStr">
        <is>
          <t>https://www.oge.com/documents/d/portal/19-00-oct-1-stamped-approved</t>
        </is>
      </c>
      <c r="D3" s="3" t="inlineStr">
        <is>
          <t>Schedule 19.00, 1st Revised Sheet</t>
        </is>
      </c>
      <c r="E3" s="3" t="inlineStr">
        <is>
          <t>PUD 2023-000087</t>
        </is>
      </c>
    </row>
    <row r="4">
      <c r="A4" s="3" t="inlineStr">
        <is>
          <t>SWEPCO (AEP)</t>
        </is>
      </c>
      <c r="B4" s="3" t="inlineStr">
        <is>
          <t>SWEPCO Texas Tariff Manual</t>
        </is>
      </c>
      <c r="C4" s="7" t="inlineStr">
        <is>
          <t>https://www.swepco.com/lib/docs/ratesandtariffs/Texas/TexasRatesChargesandFees.pdf</t>
        </is>
      </c>
      <c r="D4" s="3" t="inlineStr">
        <is>
          <t>ES-LL Section</t>
        </is>
      </c>
      <c r="E4" s="3" t="inlineStr">
        <is>
          <t>PUCT Filing Oct 2025</t>
        </is>
      </c>
    </row>
    <row r="5">
      <c r="A5" s="3" t="inlineStr">
        <is>
          <t>ERCOT Market (via REP)</t>
        </is>
      </c>
      <c r="B5" s="3" t="inlineStr">
        <is>
          <t>ERCOT Nodal Protocols, Section 7 (Transmission)</t>
        </is>
      </c>
      <c r="C5" s="7" t="inlineStr">
        <is>
          <t>https://www.ercot.com/mktrules/nprotocols</t>
        </is>
      </c>
      <c r="D5" s="3" t="inlineStr">
        <is>
          <t>Protocol Section 7.7 (4CP Calculation)</t>
        </is>
      </c>
      <c r="E5" s="3" t="inlineStr">
        <is>
          <t>PUCT Project 52376</t>
        </is>
      </c>
    </row>
    <row r="6">
      <c r="A6" s="3" t="inlineStr">
        <is>
          <t>Oncor Electric Delivery</t>
        </is>
      </c>
      <c r="B6" s="3" t="inlineStr">
        <is>
          <t>Oncor Tariff for Retail Delivery Service</t>
        </is>
      </c>
      <c r="C6" s="7" t="inlineStr">
        <is>
          <t>https://www.oncor.com/content/dam/oncorwww/documents/tariff/OnDTTariff.pdf</t>
        </is>
      </c>
      <c r="D6" s="3" t="inlineStr">
        <is>
          <t>Schedule 1700, Large Industrial</t>
        </is>
      </c>
      <c r="E6" s="3" t="inlineStr">
        <is>
          <t>PUCT Docket 54870</t>
        </is>
      </c>
    </row>
    <row r="7">
      <c r="A7" s="3" t="inlineStr">
        <is>
          <t>CenterPoint Energy Houston</t>
        </is>
      </c>
      <c r="B7" s="3" t="inlineStr">
        <is>
          <t>CenterPoint Energy Houston Electric Tariff</t>
        </is>
      </c>
      <c r="C7" s="7" t="inlineStr">
        <is>
          <t>https://www.centerpointenergy.com/en-us/corp/pages/rates-and-tariffs-electric.aspx</t>
        </is>
      </c>
      <c r="D7" s="3" t="inlineStr">
        <is>
          <t>Schedule GSLV-630</t>
        </is>
      </c>
      <c r="E7" s="3" t="inlineStr">
        <is>
          <t>PUCT Docket 55678</t>
        </is>
      </c>
    </row>
    <row r="8">
      <c r="A8" s="3" t="inlineStr">
        <is>
          <t>CPS Energy (San Antonio)</t>
        </is>
      </c>
      <c r="B8" s="3" t="inlineStr">
        <is>
          <t>CPS Energy Commercial Rate Schedules</t>
        </is>
      </c>
      <c r="C8" s="7" t="inlineStr">
        <is>
          <t>https://www.cpsenergy.com/en/my-home/rates/commercial-rates.html</t>
        </is>
      </c>
      <c r="D8" s="3" t="inlineStr">
        <is>
          <t>Rate E LCI</t>
        </is>
      </c>
      <c r="E8" s="3" t="inlineStr">
        <is>
          <t>CPS Board</t>
        </is>
      </c>
    </row>
    <row r="9">
      <c r="A9" s="3" t="inlineStr">
        <is>
          <t>Austin Energy</t>
        </is>
      </c>
      <c r="B9" s="3" t="inlineStr">
        <is>
          <t>Austin Energy Rate Schedule</t>
        </is>
      </c>
      <c r="C9" s="7" t="inlineStr">
        <is>
          <t>https://austinenergy.com/ae/rates/commercial-rates</t>
        </is>
      </c>
      <c r="D9" s="3" t="inlineStr">
        <is>
          <t>Rate P4</t>
        </is>
      </c>
      <c r="E9" s="3" t="inlineStr">
        <is>
          <t>Austin City Council</t>
        </is>
      </c>
    </row>
    <row r="10">
      <c r="A10" s="3" t="inlineStr">
        <is>
          <t>Georgia Power</t>
        </is>
      </c>
      <c r="B10" s="3" t="inlineStr">
        <is>
          <t>Georgia Power PLL-11 Rate Schedule</t>
        </is>
      </c>
      <c r="C10" s="7" t="inlineStr">
        <is>
          <t>https://www.georgiapower.com/content/dam/georgia-power/pdfs/business-pdfs/rates-schedules/small-business/PLL-11.pdf</t>
        </is>
      </c>
      <c r="D10" s="3" t="inlineStr">
        <is>
          <t>PLL-11, Page 1 (Demand Charge)</t>
        </is>
      </c>
      <c r="E10" s="3" t="inlineStr">
        <is>
          <t>GA PSC Docket 44280</t>
        </is>
      </c>
    </row>
    <row r="11">
      <c r="A11" s="3" t="inlineStr">
        <is>
          <t>Duke Energy Carolinas</t>
        </is>
      </c>
      <c r="B11" s="3" t="inlineStr">
        <is>
          <t>Duke Energy Carolinas Schedule LGS</t>
        </is>
      </c>
      <c r="C11" s="7" t="inlineStr">
        <is>
          <t>https://www.duke-energy.com/home/billing/rates</t>
        </is>
      </c>
      <c r="D11" s="3" t="inlineStr">
        <is>
          <t>Schedule LGS, Effective 9/1/2024</t>
        </is>
      </c>
      <c r="E11" s="3" t="inlineStr">
        <is>
          <t>NC Docket E-7, Sub 1276</t>
        </is>
      </c>
    </row>
    <row r="12">
      <c r="A12" s="3" t="inlineStr">
        <is>
          <t>Duke Energy Florida</t>
        </is>
      </c>
      <c r="B12" s="3" t="inlineStr">
        <is>
          <t>Duke Energy Florida LLC-1 Filing, Document 09146-2025</t>
        </is>
      </c>
      <c r="C12" s="7" t="inlineStr">
        <is>
          <t>https://www.floridapsc.com/pscfiles/library/filings/2025/09146-2025/09146-2025.pdf</t>
        </is>
      </c>
      <c r="D12" s="3" t="inlineStr">
        <is>
          <t>Docket 20250113-EI, Filed 9/5/2025</t>
        </is>
      </c>
      <c r="E12" s="3" t="inlineStr">
        <is>
          <t>FL PSC Docket 20250113-EI</t>
        </is>
      </c>
    </row>
    <row r="13">
      <c r="A13" s="3" t="inlineStr">
        <is>
          <t>Florida Power &amp; Light (FPL)</t>
        </is>
      </c>
      <c r="B13" s="3" t="inlineStr">
        <is>
          <t>FPL Electric Tariff Section 8</t>
        </is>
      </c>
      <c r="C13" s="7" t="inlineStr">
        <is>
          <t>https://www.fpl.com/rates/pdf/electric-tariff-section8.pdf</t>
        </is>
      </c>
      <c r="D13" s="3" t="inlineStr">
        <is>
          <t>Order No. PSC-2025-XXXX; Settlement Nov 20, 2025</t>
        </is>
      </c>
      <c r="E13" s="3" t="inlineStr">
        <is>
          <t>FL PSC Docket 20250011-EI</t>
        </is>
      </c>
    </row>
    <row r="14">
      <c r="A14" s="3" t="inlineStr">
        <is>
          <t>Alabama Power</t>
        </is>
      </c>
      <c r="B14" s="3" t="inlineStr">
        <is>
          <t>Alabama Power LPL Rate Schedule</t>
        </is>
      </c>
      <c r="C14" s="7" t="inlineStr">
        <is>
          <t>https://www.alabamapower.com/content/dam/alabama-power/pdfs-docs/Rates/LPL.pdf</t>
        </is>
      </c>
      <c r="D14" s="3" t="inlineStr">
        <is>
          <t>Rate LPL Schedule</t>
        </is>
      </c>
      <c r="E14" s="3" t="inlineStr">
        <is>
          <t>AL PSC Docket 24860</t>
        </is>
      </c>
    </row>
    <row r="15">
      <c r="A15" s="3" t="inlineStr">
        <is>
          <t>Mississippi Power</t>
        </is>
      </c>
      <c r="B15" s="3" t="inlineStr">
        <is>
          <t>Mississippi Power Schedule 47 LPO-TOU-17</t>
        </is>
      </c>
      <c r="C15" s="7" t="inlineStr">
        <is>
          <t>https://www.mississippipower.com/content/dam/mississippi-power/business/pricing-and-rates/2025/commercial-and-industrial-rates/1_Sch_47_LPO-TOU-17_JAR.pdf</t>
        </is>
      </c>
      <c r="D15" s="3" t="inlineStr">
        <is>
          <t>Schedule 47, 2025 Rates</t>
        </is>
      </c>
      <c r="E15" s="3" t="inlineStr">
        <is>
          <t>MS PSC Docket 2024-UA-XXX</t>
        </is>
      </c>
    </row>
    <row r="16">
      <c r="A16" s="3" t="inlineStr">
        <is>
          <t>Tampa Electric (TECO)</t>
        </is>
      </c>
      <c r="B16" s="3" t="inlineStr">
        <is>
          <t>TECO Tariff Book Section 6</t>
        </is>
      </c>
      <c r="C16" s="7" t="inlineStr">
        <is>
          <t>https://www.tampaelectric.com/company/ourpowersystem/tariff/</t>
        </is>
      </c>
      <c r="D16" s="3" t="inlineStr">
        <is>
          <t>Section 6, Schedule GSLD</t>
        </is>
      </c>
      <c r="E16" s="3" t="inlineStr">
        <is>
          <t>FL PSC Docket 20240077</t>
        </is>
      </c>
    </row>
    <row r="17">
      <c r="A17" s="3" t="inlineStr">
        <is>
          <t>TVA</t>
        </is>
      </c>
      <c r="B17" s="3" t="inlineStr">
        <is>
          <t>TVA GSA Rate Schedules</t>
        </is>
      </c>
      <c r="C17" s="7" t="inlineStr">
        <is>
          <t>https://www.tva.com/energy/valley-energy-rates</t>
        </is>
      </c>
      <c r="D17" s="3" t="inlineStr">
        <is>
          <t>GSA Part 3, Oct 2024</t>
        </is>
      </c>
      <c r="E17" s="3" t="inlineStr">
        <is>
          <t>TVA Board Approval</t>
        </is>
      </c>
    </row>
    <row r="18">
      <c r="A18" s="3" t="inlineStr">
        <is>
          <t>Santee Cooper</t>
        </is>
      </c>
      <c r="B18" s="3" t="inlineStr">
        <is>
          <t>Santee Cooper Rate Study 2024</t>
        </is>
      </c>
      <c r="C18" s="7" t="inlineStr">
        <is>
          <t>https://www.santeecooper.com/Rates/Rate-Study/</t>
        </is>
      </c>
      <c r="D18" s="3" t="inlineStr">
        <is>
          <t>Large Load Schedule</t>
        </is>
      </c>
      <c r="E18" s="3" t="inlineStr">
        <is>
          <t>SC PSC Dec 2024</t>
        </is>
      </c>
    </row>
    <row r="19">
      <c r="A19" s="3" t="inlineStr">
        <is>
          <t>Entergy Louisiana</t>
        </is>
      </c>
      <c r="B19" s="3" t="inlineStr">
        <is>
          <t>Entergy Louisiana ELL Tariffs</t>
        </is>
      </c>
      <c r="C19" s="7" t="inlineStr">
        <is>
          <t>https://www.entergylouisiana.com/business/ell-tariffs</t>
        </is>
      </c>
      <c r="D19" s="3" t="inlineStr">
        <is>
          <t>Schedule LGS</t>
        </is>
      </c>
      <c r="E19" s="3" t="inlineStr">
        <is>
          <t>LA PSC Filing</t>
        </is>
      </c>
    </row>
    <row r="20">
      <c r="A20" s="3" t="inlineStr">
        <is>
          <t>JEA</t>
        </is>
      </c>
      <c r="B20" s="3" t="inlineStr">
        <is>
          <t>JEA Electric Rate Schedules</t>
        </is>
      </c>
      <c r="C20" s="7" t="inlineStr">
        <is>
          <t>https://www.jea.com/rates</t>
        </is>
      </c>
      <c r="D20" s="3" t="inlineStr">
        <is>
          <t>Schedule LGS</t>
        </is>
      </c>
      <c r="E20" s="3" t="inlineStr">
        <is>
          <t>JEA Board</t>
        </is>
      </c>
    </row>
    <row r="21">
      <c r="A21" s="3" t="inlineStr">
        <is>
          <t>AEP Ohio</t>
        </is>
      </c>
      <c r="B21" s="3" t="inlineStr">
        <is>
          <t>AEP Ohio Data Center Tariff - PUCO Case 24-508-EL-ATA</t>
        </is>
      </c>
      <c r="C21" s="7" t="inlineStr">
        <is>
          <t>https://www.aepohio.com/company/about/rates/data-center-tariff/</t>
        </is>
      </c>
      <c r="D21" s="3" t="inlineStr">
        <is>
          <t>Schedule GS-4, Section III</t>
        </is>
      </c>
      <c r="E21" s="3" t="inlineStr">
        <is>
          <t>PUCO Case 24-508-EL-ATA</t>
        </is>
      </c>
    </row>
    <row r="22">
      <c r="A22" s="3" t="inlineStr">
        <is>
          <t>Dominion Energy Virginia</t>
        </is>
      </c>
      <c r="B22" s="3" t="inlineStr">
        <is>
          <t>Dominion Virginia Electric Tariff</t>
        </is>
      </c>
      <c r="C22" s="7" t="inlineStr">
        <is>
          <t>https://www.dominionenergy.com/virginia/rates-and-tariffs</t>
        </is>
      </c>
      <c r="D22" s="3" t="inlineStr">
        <is>
          <t>Schedule GS-4, effective 1/1/2025</t>
        </is>
      </c>
      <c r="E22" s="3" t="inlineStr">
        <is>
          <t>VA SCC Case PUR-2024-00067</t>
        </is>
      </c>
    </row>
    <row r="23">
      <c r="A23" s="3" t="inlineStr">
        <is>
          <t>NOVEC</t>
        </is>
      </c>
      <c r="B23" s="3" t="inlineStr">
        <is>
          <t>NOVEC Schedule DC Data Center Rate</t>
        </is>
      </c>
      <c r="C23" s="7" t="inlineStr">
        <is>
          <t>https://www.novec.com/rates</t>
        </is>
      </c>
      <c r="D23" s="3" t="inlineStr">
        <is>
          <t>Schedule DC</t>
        </is>
      </c>
      <c r="E23" s="3" t="inlineStr">
        <is>
          <t>VA SCC Case PUR-2023-00XXX</t>
        </is>
      </c>
    </row>
    <row r="24">
      <c r="A24" s="3" t="inlineStr">
        <is>
          <t>PPL Electric</t>
        </is>
      </c>
      <c r="B24" s="3" t="inlineStr">
        <is>
          <t>PPL Electric Current Tariff Supplement 393-394</t>
        </is>
      </c>
      <c r="C24" s="7" t="inlineStr">
        <is>
          <t>https://www.pplelectric.com/utility/about-us/electric-rates-and-rules/current-electric-tariff.aspx</t>
        </is>
      </c>
      <c r="D24" s="3" t="inlineStr">
        <is>
          <t>Supplement No. 393-394, June 2025</t>
        </is>
      </c>
      <c r="E24" s="3" t="inlineStr">
        <is>
          <t>PA PUC Docket M-2025-3054271</t>
        </is>
      </c>
    </row>
    <row r="25">
      <c r="A25" s="3" t="inlineStr">
        <is>
          <t>PSEG</t>
        </is>
      </c>
      <c r="B25" s="3" t="inlineStr">
        <is>
          <t>PSEG Electric Tariff B.P.U.N.J. No. 17</t>
        </is>
      </c>
      <c r="C25" s="7" t="inlineStr">
        <is>
          <t>https://nj.pseg.com/aboutpseg/regulatorypage/electrictariffs</t>
        </is>
      </c>
      <c r="D25" s="3" t="inlineStr">
        <is>
          <t>B.P.U.N.J. No. 17, Schedule LPL</t>
        </is>
      </c>
      <c r="E25" s="3" t="inlineStr">
        <is>
          <t>NJ BPU Docket ER23120924</t>
        </is>
      </c>
    </row>
    <row r="26">
      <c r="A26" s="3" t="inlineStr">
        <is>
          <t>BGE (Baltimore Gas &amp; Electric)</t>
        </is>
      </c>
      <c r="B26" s="3" t="inlineStr">
        <is>
          <t>BGE Electric Rates and Service Tariff</t>
        </is>
      </c>
      <c r="C26" s="7" t="inlineStr">
        <is>
          <t>https://supplier.bge.com/electric/tariffs/index.asp</t>
        </is>
      </c>
      <c r="D26" s="3" t="inlineStr">
        <is>
          <t>Schedule GT LV, MGT 3A</t>
        </is>
      </c>
      <c r="E26" s="3" t="inlineStr">
        <is>
          <t>MD PSC Case No. 9820</t>
        </is>
      </c>
    </row>
    <row r="27">
      <c r="A27" s="3" t="inlineStr">
        <is>
          <t>Pepco (MD/DC)</t>
        </is>
      </c>
      <c r="B27" s="3" t="inlineStr">
        <is>
          <t>Pepco MD Electric Tariff</t>
        </is>
      </c>
      <c r="C27" s="7" t="inlineStr">
        <is>
          <t>https://www.pepco.com/MyAccount/MyBillUsage/Pages/MD/ElectricRates.aspx</t>
        </is>
      </c>
      <c r="D27" s="3" t="inlineStr">
        <is>
          <t>Schedule GT, Large Demand</t>
        </is>
      </c>
      <c r="E27" s="3" t="inlineStr">
        <is>
          <t>MD PSC Case 9692</t>
        </is>
      </c>
    </row>
    <row r="28">
      <c r="A28" s="3" t="inlineStr">
        <is>
          <t>PECO Energy</t>
        </is>
      </c>
      <c r="B28" s="3" t="inlineStr">
        <is>
          <t>PECO Energy PA Tariff Electric No. 7</t>
        </is>
      </c>
      <c r="C28" s="7" t="inlineStr">
        <is>
          <t>https://www.peco.com/MyAccount/MyBillUsage/Pages/CurrentRates.aspx</t>
        </is>
      </c>
      <c r="D28" s="3" t="inlineStr">
        <is>
          <t>Rate GS-Large, Schedule</t>
        </is>
      </c>
      <c r="E28" s="3" t="inlineStr">
        <is>
          <t>PA PUC Docket R-2024-3064406</t>
        </is>
      </c>
    </row>
    <row r="29">
      <c r="A29" s="3" t="inlineStr">
        <is>
          <t>ComEd (Exelon)</t>
        </is>
      </c>
      <c r="B29" s="3" t="inlineStr">
        <is>
          <t>ComEd TSA Requirements</t>
        </is>
      </c>
      <c r="C29" s="7" t="inlineStr">
        <is>
          <t>https://www.comed.com/current-rates-tariffs</t>
        </is>
      </c>
      <c r="D29" s="3" t="inlineStr">
        <is>
          <t>Schedule 700, TSA Rider</t>
        </is>
      </c>
      <c r="E29" s="3" t="inlineStr">
        <is>
          <t>ICC Dockets 25-0677/25-0678/25-0679</t>
        </is>
      </c>
    </row>
    <row r="30">
      <c r="A30" s="3" t="inlineStr">
        <is>
          <t>Atlantic City Electric</t>
        </is>
      </c>
      <c r="B30" s="3" t="inlineStr">
        <is>
          <t>Atlantic City Electric Tariff</t>
        </is>
      </c>
      <c r="C30" s="7" t="inlineStr">
        <is>
          <t>https://www.atlanticcityelectric.com/MyAccount/MyBillUsage/Pages/NJ/CurrentRates.aspx</t>
        </is>
      </c>
      <c r="D30" s="3" t="inlineStr">
        <is>
          <t>Schedule AGS-TOU</t>
        </is>
      </c>
      <c r="E30" s="3" t="inlineStr">
        <is>
          <t>NJ BPU Docket</t>
        </is>
      </c>
    </row>
    <row r="31">
      <c r="A31" s="3" t="inlineStr">
        <is>
          <t>Delmarva Power</t>
        </is>
      </c>
      <c r="B31" s="3" t="inlineStr">
        <is>
          <t>Delmarva Power Tariff</t>
        </is>
      </c>
      <c r="C31" s="7" t="inlineStr">
        <is>
          <t>https://www.delmarva.com/MyAccount/MyBillUsage/Pages/DE/CurrentRates.aspx</t>
        </is>
      </c>
      <c r="D31" s="3" t="inlineStr">
        <is>
          <t>Schedule SGS-TOU</t>
        </is>
      </c>
      <c r="E31" s="3" t="inlineStr">
        <is>
          <t>DE PSC Docket</t>
        </is>
      </c>
    </row>
    <row r="32">
      <c r="A32" s="3" t="inlineStr">
        <is>
          <t>FirstEnergy (Ohio Edison)</t>
        </is>
      </c>
      <c r="B32" s="3" t="inlineStr">
        <is>
          <t>Ohio Edison Tariff PUCO No. 11</t>
        </is>
      </c>
      <c r="C32" s="7" t="inlineStr">
        <is>
          <t>https://www.firstenergycorp.com/ohio/rates.html</t>
        </is>
      </c>
      <c r="D32" s="3" t="inlineStr">
        <is>
          <t>Schedule GP</t>
        </is>
      </c>
      <c r="E32" s="3" t="inlineStr">
        <is>
          <t>OH PUCO Case</t>
        </is>
      </c>
    </row>
    <row r="33">
      <c r="A33" s="3" t="inlineStr">
        <is>
          <t>FirstEnergy (Met-Ed)</t>
        </is>
      </c>
      <c r="B33" s="3" t="inlineStr">
        <is>
          <t>Met-Ed Electric Tariff</t>
        </is>
      </c>
      <c r="C33" s="7" t="inlineStr">
        <is>
          <t>https://www.firstenergycorp.com/pa/rates.html</t>
        </is>
      </c>
      <c r="D33" s="3" t="inlineStr">
        <is>
          <t>Rate GS-Large</t>
        </is>
      </c>
      <c r="E33" s="3" t="inlineStr">
        <is>
          <t>PA PUC Docket</t>
        </is>
      </c>
    </row>
    <row r="34">
      <c r="A34" s="3" t="inlineStr">
        <is>
          <t>FirstEnergy (Penelec)</t>
        </is>
      </c>
      <c r="B34" s="3" t="inlineStr">
        <is>
          <t>Penelec Electric Tariff</t>
        </is>
      </c>
      <c r="C34" s="7" t="inlineStr">
        <is>
          <t>https://www.firstenergycorp.com/pa/rates.html</t>
        </is>
      </c>
      <c r="D34" s="3" t="inlineStr">
        <is>
          <t>Rate GS-Large</t>
        </is>
      </c>
      <c r="E34" s="3" t="inlineStr">
        <is>
          <t>PA PUC Docket</t>
        </is>
      </c>
    </row>
    <row r="35">
      <c r="A35" s="3" t="inlineStr">
        <is>
          <t>FirstEnergy (JCP&amp;L)</t>
        </is>
      </c>
      <c r="B35" s="3" t="inlineStr">
        <is>
          <t>JCP&amp;L Electric Tariff</t>
        </is>
      </c>
      <c r="C35" s="7" t="inlineStr">
        <is>
          <t>https://www.firstenergycorp.com/nj/rates.html</t>
        </is>
      </c>
      <c r="D35" s="3" t="inlineStr">
        <is>
          <t>Schedule LGS</t>
        </is>
      </c>
      <c r="E35" s="3" t="inlineStr">
        <is>
          <t>NJ BPU Docket</t>
        </is>
      </c>
    </row>
    <row r="36">
      <c r="A36" s="3" t="inlineStr">
        <is>
          <t>Ameren Missouri</t>
        </is>
      </c>
      <c r="B36" s="3" t="inlineStr">
        <is>
          <t>Ameren Missouri Large Load Customer Rate Plan</t>
        </is>
      </c>
      <c r="C36" s="7" t="inlineStr">
        <is>
          <t>https://s21.q4cdn.com/448935352/files/doc_presentations/2025/Nov/24/Ameren-Missouri-Large-Load-Customer-Rate-Plan-vfinal.pdf</t>
        </is>
      </c>
      <c r="D36" s="3" t="inlineStr">
        <is>
          <t>Rate Plan Presentation, Nov 2025</t>
        </is>
      </c>
      <c r="E36" s="3" t="inlineStr">
        <is>
          <t>MO PSC Docket ER-2024-0319</t>
        </is>
      </c>
    </row>
    <row r="37">
      <c r="A37" s="3" t="inlineStr">
        <is>
          <t>Evergy (Kansas/Missouri)</t>
        </is>
      </c>
      <c r="B37" s="3" t="inlineStr">
        <is>
          <t>Evergy Large Load Power Service Tariff</t>
        </is>
      </c>
      <c r="C37" s="7" t="inlineStr">
        <is>
          <t>https://www.evergy.com/-/media/documents/billing/missouri/detailed_tariffs_mo/mo-west/large-power-service.pdf</t>
        </is>
      </c>
      <c r="D37" s="3" t="inlineStr">
        <is>
          <t>Schedule LLPS, MO West</t>
        </is>
      </c>
      <c r="E37" s="3" t="inlineStr">
        <is>
          <t>KS Docket 25-EKME-315-TAR</t>
        </is>
      </c>
    </row>
    <row r="38">
      <c r="A38" s="3" t="inlineStr">
        <is>
          <t>Consumers Energy</t>
        </is>
      </c>
      <c r="B38" s="3" t="inlineStr">
        <is>
          <t>MPSC U-21859 Issue Brief - Consumers Energy</t>
        </is>
      </c>
      <c r="C38" s="7" t="inlineStr">
        <is>
          <t>https://www.michigan.gov/mpsc/-/media/Project/Websites/mpsc/consumer/info/briefs/Issue_Brief_U-21859_Consumers_Energy.pdf</t>
        </is>
      </c>
      <c r="D38" s="3" t="inlineStr">
        <is>
          <t>Issue Brief, November 2025</t>
        </is>
      </c>
      <c r="E38" s="3" t="inlineStr">
        <is>
          <t>MI MPSC Docket U-21859</t>
        </is>
      </c>
    </row>
    <row r="39">
      <c r="A39" s="3" t="inlineStr">
        <is>
          <t>DTE Energy</t>
        </is>
      </c>
      <c r="B39" s="3" t="inlineStr">
        <is>
          <t>DTE Primary Supply Agreement D11</t>
        </is>
      </c>
      <c r="C39" s="7" t="inlineStr">
        <is>
          <t>https://www.dteenergy.com/content/dam/dteenergy/deg/website/business/service-and-price/pricing/rate-options/PrimarySupplyAgreementD11.pdf</t>
        </is>
      </c>
      <c r="D39" s="3" t="inlineStr">
        <is>
          <t>Schedule D11</t>
        </is>
      </c>
      <c r="E39" s="3" t="inlineStr">
        <is>
          <t>MI MPSC Docket U-21990</t>
        </is>
      </c>
    </row>
    <row r="40">
      <c r="A40" s="3" t="inlineStr">
        <is>
          <t>We Energies</t>
        </is>
      </c>
      <c r="B40" s="3" t="inlineStr">
        <is>
          <t>We Energies Data Center Rate Proposal</t>
        </is>
      </c>
      <c r="C40" s="7" t="inlineStr">
        <is>
          <t>https://www.we-energies.com/pdfs/etariffs/wisconsin/2025-rates-brochures.pdf</t>
        </is>
      </c>
      <c r="D40" s="3" t="inlineStr">
        <is>
          <t>Proposed Large Load Schedule</t>
        </is>
      </c>
      <c r="E40" s="3" t="inlineStr">
        <is>
          <t>WI PSC Docket 6630-FR-2024</t>
        </is>
      </c>
    </row>
    <row r="41">
      <c r="A41" s="3" t="inlineStr">
        <is>
          <t>Xcel Energy (MN)</t>
        </is>
      </c>
      <c r="B41" s="3" t="inlineStr">
        <is>
          <t>Xcel Energy Minnesota Rate Book</t>
        </is>
      </c>
      <c r="C41" s="7" t="inlineStr">
        <is>
          <t>https://www.xcelenergy.com/company/rates_and_regulations/rates/rate_books</t>
        </is>
      </c>
      <c r="D41" s="3" t="inlineStr">
        <is>
          <t>MN Rate Book, Large General Service</t>
        </is>
      </c>
      <c r="E41" s="3" t="inlineStr">
        <is>
          <t>MN PUC Dockets 24-320, 24-321</t>
        </is>
      </c>
    </row>
    <row r="42">
      <c r="A42" s="3" t="inlineStr">
        <is>
          <t>Xcel Energy (CO)</t>
        </is>
      </c>
      <c r="B42" s="3" t="inlineStr">
        <is>
          <t>Xcel Energy Colorado Schedule SG</t>
        </is>
      </c>
      <c r="C42" s="7" t="inlineStr">
        <is>
          <t>https://www.xcelenergy.com/company/rates_and_regulations/rates/rate_books</t>
        </is>
      </c>
      <c r="D42" s="3" t="inlineStr">
        <is>
          <t>CO Rate Book, Schedule SG</t>
        </is>
      </c>
      <c r="E42" s="3" t="inlineStr">
        <is>
          <t>CO PUC Proceeding 24AL-XXXX</t>
        </is>
      </c>
    </row>
    <row r="43">
      <c r="A43" s="3" t="inlineStr">
        <is>
          <t>LG&amp;E/KU (PPL)</t>
        </is>
      </c>
      <c r="B43" s="3" t="inlineStr">
        <is>
          <t>Kentucky Utilities Company Tariff</t>
        </is>
      </c>
      <c r="C43" s="7" t="inlineStr">
        <is>
          <t>http://psc.ky.gov/tariffs/Electric/Kentucky%20Utilities%20Company/Tariff.pdf</t>
        </is>
      </c>
      <c r="D43" s="3" t="inlineStr">
        <is>
          <t>Schedule EHLF</t>
        </is>
      </c>
      <c r="E43" s="3" t="inlineStr">
        <is>
          <t>KY PSC 2025-00114</t>
        </is>
      </c>
    </row>
    <row r="44">
      <c r="A44" s="3" t="inlineStr">
        <is>
          <t>MidAmerican Energy</t>
        </is>
      </c>
      <c r="B44" s="3" t="inlineStr">
        <is>
          <t>MidAmerican Energy Iowa Tariff</t>
        </is>
      </c>
      <c r="C44" s="7" t="inlineStr">
        <is>
          <t>https://www.midamericanenergy.com/ia-electric-tariffs</t>
        </is>
      </c>
      <c r="D44" s="3" t="inlineStr">
        <is>
          <t>Schedule LGS</t>
        </is>
      </c>
      <c r="E44" s="3" t="inlineStr">
        <is>
          <t>IA IUB Docket</t>
        </is>
      </c>
    </row>
    <row r="45">
      <c r="A45" s="3" t="inlineStr">
        <is>
          <t>Alliant Energy (WPL)</t>
        </is>
      </c>
      <c r="B45" s="3" t="inlineStr">
        <is>
          <t>WPL Schedule Cp-1</t>
        </is>
      </c>
      <c r="C45" s="7" t="inlineStr">
        <is>
          <t>https://www.alliantenergy.com/CustomerService/AlliantEnergyService/WisconsinElectricRates</t>
        </is>
      </c>
      <c r="D45" s="3" t="inlineStr">
        <is>
          <t>Schedule Cp-1</t>
        </is>
      </c>
      <c r="E45" s="3" t="inlineStr">
        <is>
          <t>WI PSC Docket</t>
        </is>
      </c>
    </row>
    <row r="46">
      <c r="A46" s="3" t="inlineStr">
        <is>
          <t>Otter Tail Power</t>
        </is>
      </c>
      <c r="B46" s="3" t="inlineStr">
        <is>
          <t>Otter Tail MN Tariff</t>
        </is>
      </c>
      <c r="C46" s="7" t="inlineStr">
        <is>
          <t>https://www.otpco.com/rates</t>
        </is>
      </c>
      <c r="D46" s="3" t="inlineStr">
        <is>
          <t>Schedule 20</t>
        </is>
      </c>
      <c r="E46" s="3" t="inlineStr">
        <is>
          <t>MN PUC Docket</t>
        </is>
      </c>
    </row>
    <row r="47">
      <c r="A47" s="3" t="inlineStr">
        <is>
          <t>Nebraska Public Power District</t>
        </is>
      </c>
      <c r="B47" s="3" t="inlineStr">
        <is>
          <t>NPPD Large Power Schedule</t>
        </is>
      </c>
      <c r="C47" s="7" t="inlineStr">
        <is>
          <t>https://www.nppd.com/about-us/rates</t>
        </is>
      </c>
      <c r="D47" s="3" t="inlineStr">
        <is>
          <t>Schedule LP</t>
        </is>
      </c>
      <c r="E47" s="3" t="inlineStr">
        <is>
          <t>NPPD Board</t>
        </is>
      </c>
    </row>
    <row r="48">
      <c r="A48" s="3" t="inlineStr">
        <is>
          <t>OPPD (Omaha Public Power)</t>
        </is>
      </c>
      <c r="B48" s="3" t="inlineStr">
        <is>
          <t>OPPD Rate 261</t>
        </is>
      </c>
      <c r="C48" s="7" t="inlineStr">
        <is>
          <t>https://www.oppd.com/rates/</t>
        </is>
      </c>
      <c r="D48" s="3" t="inlineStr">
        <is>
          <t>Rate 261</t>
        </is>
      </c>
      <c r="E48" s="3" t="inlineStr">
        <is>
          <t>OPPD Board</t>
        </is>
      </c>
    </row>
    <row r="49">
      <c r="A49" s="3" t="inlineStr">
        <is>
          <t>Black Hills Energy (SD)</t>
        </is>
      </c>
      <c r="B49" s="3" t="inlineStr">
        <is>
          <t>Black Hills Energy Blockchain Power Tariff</t>
        </is>
      </c>
      <c r="C49" s="7" t="inlineStr">
        <is>
          <t>https://puc.sd.gov/dockets/Electric/2025/default.aspx</t>
        </is>
      </c>
      <c r="D49" s="3" t="inlineStr">
        <is>
          <t>Docket EL25-019, Approved 1/28/2026</t>
        </is>
      </c>
      <c r="E49" s="3" t="inlineStr">
        <is>
          <t>SD PUC Docket EL25-019</t>
        </is>
      </c>
    </row>
    <row r="50">
      <c r="A50" s="3" t="inlineStr">
        <is>
          <t>Black Hills Energy (WY)</t>
        </is>
      </c>
      <c r="B50" s="3" t="inlineStr">
        <is>
          <t>Black Hills Energy Wyoming Large Power Contract</t>
        </is>
      </c>
      <c r="C50" s="7" t="inlineStr">
        <is>
          <t>https://www.blackhillsenergy.com/billing-and-payments/rates-and-regulatory-information/wyoming-rates-and-regulatory-information</t>
        </is>
      </c>
      <c r="D50" s="3" t="inlineStr">
        <is>
          <t>Schedule LPC, WY PSC Approved</t>
        </is>
      </c>
      <c r="E50" s="3" t="inlineStr">
        <is>
          <t>WY PSC Docket 20000-XXX</t>
        </is>
      </c>
    </row>
    <row r="51">
      <c r="A51" s="3" t="inlineStr">
        <is>
          <t>NV Energy</t>
        </is>
      </c>
      <c r="B51" s="3" t="inlineStr">
        <is>
          <t>NV Energy Schedule LGS-1</t>
        </is>
      </c>
      <c r="C51" s="7" t="inlineStr">
        <is>
          <t>https://www.nvenergy.com/publish/content/dam/nvenergy/brochures_702/handbook.pdf</t>
        </is>
      </c>
      <c r="D51" s="3" t="inlineStr">
        <is>
          <t>Schedule LGS-1, Effective 7/1/2024</t>
        </is>
      </c>
      <c r="E51" s="3" t="inlineStr">
        <is>
          <t>NV PUC Docket 24-XXXX</t>
        </is>
      </c>
    </row>
    <row r="52">
      <c r="A52" s="3" t="inlineStr">
        <is>
          <t>Arizona Public Service (APS)</t>
        </is>
      </c>
      <c r="B52" s="3" t="inlineStr">
        <is>
          <t>APS E-32 Rate Schedule</t>
        </is>
      </c>
      <c r="C52" s="7" t="inlineStr">
        <is>
          <t>https://www.aps.com/en/Residential/Service-Plans/Compare-Service-Plans</t>
        </is>
      </c>
      <c r="D52" s="3" t="inlineStr">
        <is>
          <t>Schedule E-32</t>
        </is>
      </c>
      <c r="E52" s="3" t="inlineStr">
        <is>
          <t>AZ CC Docket E-01345A-19-XXXX</t>
        </is>
      </c>
    </row>
    <row r="53">
      <c r="A53" s="3" t="inlineStr">
        <is>
          <t>Salt River Project (SRP)</t>
        </is>
      </c>
      <c r="B53" s="3" t="inlineStr">
        <is>
          <t>SRP FY26 Ratebooks</t>
        </is>
      </c>
      <c r="C53" s="7" t="inlineStr">
        <is>
          <t>https://www.srpnet.com/assets/srpnet/pdf/price-plans/FY26/</t>
        </is>
      </c>
      <c r="D53" s="3" t="inlineStr">
        <is>
          <t>Schedule E-65</t>
        </is>
      </c>
      <c r="E53" s="3" t="inlineStr">
        <is>
          <t>SRP Board FY2026</t>
        </is>
      </c>
    </row>
    <row r="54">
      <c r="A54" s="3" t="inlineStr">
        <is>
          <t>Rocky Mountain Power (PacifiCorp)</t>
        </is>
      </c>
      <c r="B54" s="3" t="inlineStr">
        <is>
          <t>Rocky Mountain Power Schedule 31</t>
        </is>
      </c>
      <c r="C54" s="7" t="inlineStr">
        <is>
          <t>https://www.rockymountainpower.net/content/dam/pcorp/documents/en/rockymountainpower/rates-regulation/utah/rates/031_Partial_Requirements_Service_Large_General_Service_1000kW_and_Over.pdf</t>
        </is>
      </c>
      <c r="D54" s="3" t="inlineStr">
        <is>
          <t>Schedule 31</t>
        </is>
      </c>
      <c r="E54" s="3" t="inlineStr">
        <is>
          <t>UT PSC Docket 24-035-XX</t>
        </is>
      </c>
    </row>
    <row r="55">
      <c r="A55" s="3" t="inlineStr">
        <is>
          <t>PNM Resources</t>
        </is>
      </c>
      <c r="B55" s="3" t="inlineStr">
        <is>
          <t>PNM Schedule 3B</t>
        </is>
      </c>
      <c r="C55" s="7" t="inlineStr">
        <is>
          <t>https://www.pnm.com/rates</t>
        </is>
      </c>
      <c r="D55" s="3" t="inlineStr">
        <is>
          <t>Schedule 3B</t>
        </is>
      </c>
      <c r="E55" s="3" t="inlineStr">
        <is>
          <t>NM PRC Case</t>
        </is>
      </c>
    </row>
    <row r="56">
      <c r="A56" s="3" t="inlineStr">
        <is>
          <t>Tucson Electric Power</t>
        </is>
      </c>
      <c r="B56" s="3" t="inlineStr">
        <is>
          <t>TEP Schedule LGS-51</t>
        </is>
      </c>
      <c r="C56" s="7" t="inlineStr">
        <is>
          <t>https://www.tep.com/rates</t>
        </is>
      </c>
      <c r="D56" s="3" t="inlineStr">
        <is>
          <t>Schedule LGS-51</t>
        </is>
      </c>
      <c r="E56" s="3" t="inlineStr">
        <is>
          <t>AZ CC Docket</t>
        </is>
      </c>
    </row>
    <row r="57">
      <c r="A57" s="3" t="inlineStr">
        <is>
          <t>El Paso Electric</t>
        </is>
      </c>
      <c r="B57" s="3" t="inlineStr">
        <is>
          <t>EPE Schedule 6</t>
        </is>
      </c>
      <c r="C57" s="7" t="inlineStr">
        <is>
          <t>https://www.epelectric.com/rates</t>
        </is>
      </c>
      <c r="D57" s="3" t="inlineStr">
        <is>
          <t>Schedule 6</t>
        </is>
      </c>
      <c r="E57" s="3" t="inlineStr">
        <is>
          <t>TX PUC/NM PRC</t>
        </is>
      </c>
    </row>
    <row r="58">
      <c r="A58" s="3" t="inlineStr">
        <is>
          <t>Pacific Gas &amp; Electric (PG&amp;E)</t>
        </is>
      </c>
      <c r="B58" s="3" t="inlineStr">
        <is>
          <t>PG&amp;E Schedule E-20 Large Power Service</t>
        </is>
      </c>
      <c r="C58" s="7" t="inlineStr">
        <is>
          <t>https://www.pge.com/tariffs/assets/pdf/tariffbook/ELEC_SCHEDS_E-20.pdf</t>
        </is>
      </c>
      <c r="D58" s="3" t="inlineStr">
        <is>
          <t>Schedule E-20</t>
        </is>
      </c>
      <c r="E58" s="3" t="inlineStr">
        <is>
          <t>CPUC A.23-11-XXX</t>
        </is>
      </c>
    </row>
    <row r="59">
      <c r="A59" s="3" t="inlineStr">
        <is>
          <t>Southern California Edison (SCE)</t>
        </is>
      </c>
      <c r="B59" s="3" t="inlineStr">
        <is>
          <t>SCE TOU-8 Rate Fact Sheet</t>
        </is>
      </c>
      <c r="C59" s="7" t="inlineStr">
        <is>
          <t>https://www.sce.com/sites/default/files/inline-files/TOU-8%20Rate%20Fact%20Sheet.pdf</t>
        </is>
      </c>
      <c r="D59" s="3" t="inlineStr">
        <is>
          <t>TOU-8 Fact Sheet</t>
        </is>
      </c>
      <c r="E59" s="3" t="inlineStr">
        <is>
          <t>CPUC A.22-05-XXX</t>
        </is>
      </c>
    </row>
    <row r="60">
      <c r="A60" s="3" t="inlineStr">
        <is>
          <t>San Diego Gas &amp; Electric (SDG&amp;E)</t>
        </is>
      </c>
      <c r="B60" s="3" t="inlineStr">
        <is>
          <t>SDG&amp;E Schedule AL-TOU</t>
        </is>
      </c>
      <c r="C60" s="7" t="inlineStr">
        <is>
          <t>https://www.sdge.com/sites/default/files/elec_elec-scheds_al-tou.pdf</t>
        </is>
      </c>
      <c r="D60" s="3" t="inlineStr">
        <is>
          <t>Schedule AL-TOU</t>
        </is>
      </c>
      <c r="E60" s="3" t="inlineStr">
        <is>
          <t>CPUC A.23-01-XXX</t>
        </is>
      </c>
    </row>
    <row r="61">
      <c r="A61" s="3" t="inlineStr">
        <is>
          <t>LADWP</t>
        </is>
      </c>
      <c r="B61" s="3" t="inlineStr">
        <is>
          <t>LADWP Schedule A-3</t>
        </is>
      </c>
      <c r="C61" s="7" t="inlineStr">
        <is>
          <t>https://www.ladwp.com/ladwp/faces/ladwp/commercial/c-customerservices/c-cs-rates</t>
        </is>
      </c>
      <c r="D61" s="3" t="inlineStr">
        <is>
          <t>Schedule A-3</t>
        </is>
      </c>
      <c r="E61" s="3" t="inlineStr">
        <is>
          <t>LADWP Board</t>
        </is>
      </c>
    </row>
    <row r="62">
      <c r="A62" s="3" t="inlineStr">
        <is>
          <t>SMUD</t>
        </is>
      </c>
      <c r="B62" s="3" t="inlineStr">
        <is>
          <t>SMUD Rate GS-TOU3</t>
        </is>
      </c>
      <c r="C62" s="7" t="inlineStr">
        <is>
          <t>https://www.smud.org/Rate-Information/Commercial-rates</t>
        </is>
      </c>
      <c r="D62" s="3" t="inlineStr">
        <is>
          <t>Rate GS-TOU3</t>
        </is>
      </c>
      <c r="E62" s="3" t="inlineStr">
        <is>
          <t>SMUD Board</t>
        </is>
      </c>
    </row>
    <row r="63">
      <c r="A63" s="3" t="inlineStr">
        <is>
          <t>Portland General Electric</t>
        </is>
      </c>
      <c r="B63" s="3" t="inlineStr">
        <is>
          <t>PGE Schedule 89 Large Industrial</t>
        </is>
      </c>
      <c r="C63" s="7" t="inlineStr">
        <is>
          <t>https://portlandgeneral.com/about/info/rates-and-regulatory/tariff</t>
        </is>
      </c>
      <c r="D63" s="3" t="inlineStr">
        <is>
          <t>Schedule 89</t>
        </is>
      </c>
      <c r="E63" s="3" t="inlineStr">
        <is>
          <t>OR PUC Docket UE 435</t>
        </is>
      </c>
    </row>
    <row r="64">
      <c r="A64" s="3" t="inlineStr">
        <is>
          <t>Idaho Power</t>
        </is>
      </c>
      <c r="B64" s="3" t="inlineStr">
        <is>
          <t>Idaho Power Schedule 19</t>
        </is>
      </c>
      <c r="C64" s="7" t="inlineStr">
        <is>
          <t>https://docs.idahopower.com/pdfs/aboutus/ratesregulatory/tariffs/191.pdf</t>
        </is>
      </c>
      <c r="D64" s="3" t="inlineStr">
        <is>
          <t>Schedule 19-1</t>
        </is>
      </c>
      <c r="E64" s="3" t="inlineStr">
        <is>
          <t>ID PUC Case</t>
        </is>
      </c>
    </row>
    <row r="65">
      <c r="A65" s="3" t="inlineStr">
        <is>
          <t>Puget Sound Energy</t>
        </is>
      </c>
      <c r="B65" s="3" t="inlineStr">
        <is>
          <t>PSE Schedule 26</t>
        </is>
      </c>
      <c r="C65" s="7" t="inlineStr">
        <is>
          <t>https://www.pse.com/en/pages/rates/schedule-summaries</t>
        </is>
      </c>
      <c r="D65" s="3" t="inlineStr">
        <is>
          <t>Schedule 26</t>
        </is>
      </c>
      <c r="E65" s="3" t="inlineStr">
        <is>
          <t>WA UTC Docket</t>
        </is>
      </c>
    </row>
    <row r="66">
      <c r="A66" s="3" t="inlineStr">
        <is>
          <t>Avista Utilities</t>
        </is>
      </c>
      <c r="B66" s="3" t="inlineStr">
        <is>
          <t>Avista Schedule 25</t>
        </is>
      </c>
      <c r="C66" s="7" t="inlineStr">
        <is>
          <t>https://www.myavista.com/about-us/rates-and-tariffs</t>
        </is>
      </c>
      <c r="D66" s="3" t="inlineStr">
        <is>
          <t>Schedule 25</t>
        </is>
      </c>
      <c r="E66" s="3" t="inlineStr">
        <is>
          <t>WA UTC/ID PUC</t>
        </is>
      </c>
    </row>
    <row r="67">
      <c r="A67" s="3" t="inlineStr">
        <is>
          <t>ConEdison</t>
        </is>
      </c>
      <c r="B67" s="3" t="inlineStr">
        <is>
          <t>ConEdison Electric Tariff P.S.C. No. 12</t>
        </is>
      </c>
      <c r="C67" s="7" t="inlineStr">
        <is>
          <t>https://www.coned.com/en/rates-tariffs/rates</t>
        </is>
      </c>
      <c r="D67" s="3" t="inlineStr">
        <is>
          <t>SC 9</t>
        </is>
      </c>
      <c r="E67" s="3" t="inlineStr">
        <is>
          <t>NY PSC Case</t>
        </is>
      </c>
    </row>
    <row r="68">
      <c r="A68" s="3" t="inlineStr">
        <is>
          <t>National Grid (NY)</t>
        </is>
      </c>
      <c r="B68" s="3" t="inlineStr">
        <is>
          <t>National Grid NY Schedule LC</t>
        </is>
      </c>
      <c r="C68" s="7" t="inlineStr">
        <is>
          <t>https://www.nationalgridus.com/Upstate-NY-Business/Rates/Service-Rates</t>
        </is>
      </c>
      <c r="D68" s="3" t="inlineStr">
        <is>
          <t>Schedule LC</t>
        </is>
      </c>
      <c r="E68" s="3" t="inlineStr">
        <is>
          <t>NY PSC Case</t>
        </is>
      </c>
    </row>
    <row r="69">
      <c r="A69" s="3" t="inlineStr">
        <is>
          <t>Eversource (CT)</t>
        </is>
      </c>
      <c r="B69" s="3" t="inlineStr">
        <is>
          <t>Eversource CT Schedule 37</t>
        </is>
      </c>
      <c r="C69" s="7" t="inlineStr">
        <is>
          <t>https://www.eversource.com/residential/account-billing/manage-bill/about-your-bill/rates-tariffs</t>
        </is>
      </c>
      <c r="D69" s="3" t="inlineStr">
        <is>
          <t>Schedule 37</t>
        </is>
      </c>
      <c r="E69" s="3" t="inlineStr">
        <is>
          <t>CT PURA Docket</t>
        </is>
      </c>
    </row>
    <row r="70">
      <c r="A70" s="3" t="inlineStr">
        <is>
          <t>Eversource (MA)</t>
        </is>
      </c>
      <c r="B70" s="3" t="inlineStr">
        <is>
          <t>NSTAR Electric Rate G-3</t>
        </is>
      </c>
      <c r="C70" s="7" t="inlineStr">
        <is>
          <t>https://www.eversource.com/content/ema-c/residential/my-account/billing-payments/about-your-bill/rates-tariffs</t>
        </is>
      </c>
      <c r="D70" s="3" t="inlineStr">
        <is>
          <t>Rate G-3</t>
        </is>
      </c>
      <c r="E70" s="3" t="inlineStr">
        <is>
          <t>MA DPU Docket</t>
        </is>
      </c>
    </row>
    <row r="71">
      <c r="A71" s="3" t="inlineStr">
        <is>
          <t>National Grid (MA)</t>
        </is>
      </c>
      <c r="B71" s="3" t="inlineStr">
        <is>
          <t>National Grid MA Rate G-3</t>
        </is>
      </c>
      <c r="C71" s="7" t="inlineStr">
        <is>
          <t>https://www.nationalgridus.com/MA-Business/Rates/Service-Rates</t>
        </is>
      </c>
      <c r="D71" s="3" t="inlineStr">
        <is>
          <t>Rate G-3</t>
        </is>
      </c>
      <c r="E71" s="3" t="inlineStr">
        <is>
          <t>MA DPU 24-XX</t>
        </is>
      </c>
    </row>
    <row r="72">
      <c r="A72" s="3" t="inlineStr">
        <is>
          <t>United Illuminating</t>
        </is>
      </c>
      <c r="B72" s="3" t="inlineStr">
        <is>
          <t>UI Rate LPT</t>
        </is>
      </c>
      <c r="C72" s="7" t="inlineStr">
        <is>
          <t>https://www.uinet.com/wps/portal/uinet/business/electricrates</t>
        </is>
      </c>
      <c r="D72" s="3" t="inlineStr">
        <is>
          <t>Rate LPT</t>
        </is>
      </c>
      <c r="E72" s="3" t="inlineStr">
        <is>
          <t>CT PURA Docket</t>
        </is>
      </c>
    </row>
    <row r="73">
      <c r="A73" s="3" t="inlineStr">
        <is>
          <t>National Grid (RI)</t>
        </is>
      </c>
      <c r="B73" s="3" t="inlineStr">
        <is>
          <t>National Grid RI Rate G-32</t>
        </is>
      </c>
      <c r="C73" s="7" t="inlineStr">
        <is>
          <t>https://www.nationalgridus.com/RI-Business/Rates/Service-Rates</t>
        </is>
      </c>
      <c r="D73" s="3" t="inlineStr">
        <is>
          <t>Rate G-32</t>
        </is>
      </c>
      <c r="E73" s="3" t="inlineStr">
        <is>
          <t>RI PUC Docket</t>
        </is>
      </c>
    </row>
    <row r="74">
      <c r="A74" s="3" t="inlineStr">
        <is>
          <t>AEP Appalachian Power</t>
        </is>
      </c>
      <c r="B74" s="3" t="inlineStr">
        <is>
          <t>AEP Appalachian Power Large General Service Tariff</t>
        </is>
      </c>
      <c r="C74" s="3" t="inlineStr">
        <is>
          <t>https://www.appalachianpower.com/rates/tariffs</t>
        </is>
      </c>
      <c r="D74" s="3" t="inlineStr">
        <is>
          <t>Schedule LGS</t>
        </is>
      </c>
      <c r="E74" s="3" t="inlineStr">
        <is>
          <t>VA SCC</t>
        </is>
      </c>
    </row>
    <row r="75">
      <c r="A75" s="3" t="inlineStr">
        <is>
          <t>AEP Indiana Michigan Power</t>
        </is>
      </c>
      <c r="B75" s="3" t="inlineStr">
        <is>
          <t>Indiana Michigan Power Large Power Tariff</t>
        </is>
      </c>
      <c r="C75" s="3" t="inlineStr">
        <is>
          <t>https://www.indianamichiganpower.com/rates</t>
        </is>
      </c>
      <c r="D75" s="3" t="inlineStr">
        <is>
          <t>Schedule LPS</t>
        </is>
      </c>
      <c r="E75" s="3" t="inlineStr">
        <is>
          <t>IN URC / MI PSC</t>
        </is>
      </c>
    </row>
    <row r="76">
      <c r="A76" s="3" t="inlineStr">
        <is>
          <t>AEP Kentucky Power</t>
        </is>
      </c>
      <c r="B76" s="3" t="inlineStr">
        <is>
          <t>Kentucky Power Large General Service Tariff</t>
        </is>
      </c>
      <c r="C76" s="3" t="inlineStr">
        <is>
          <t>https://www.kentuckypower.com/rates</t>
        </is>
      </c>
      <c r="D76" s="3" t="inlineStr">
        <is>
          <t>Schedule LGS</t>
        </is>
      </c>
      <c r="E76" s="3" t="inlineStr">
        <is>
          <t>KY PSC</t>
        </is>
      </c>
    </row>
    <row r="77">
      <c r="A77" s="3" t="inlineStr">
        <is>
          <t>Entergy Arkansas</t>
        </is>
      </c>
      <c r="B77" s="3" t="inlineStr">
        <is>
          <t>Entergy Arkansas Large General Service Tariff</t>
        </is>
      </c>
      <c r="C77" s="3" t="inlineStr">
        <is>
          <t>https://www.entergy-arkansas.com/rates</t>
        </is>
      </c>
      <c r="D77" s="3" t="inlineStr">
        <is>
          <t>Schedule LGS-TOD</t>
        </is>
      </c>
      <c r="E77" s="3" t="inlineStr">
        <is>
          <t>AR PSC</t>
        </is>
      </c>
    </row>
    <row r="78">
      <c r="A78" s="3" t="inlineStr">
        <is>
          <t>Entergy Texas</t>
        </is>
      </c>
      <c r="B78" s="3" t="inlineStr">
        <is>
          <t>Entergy Texas Large Industrial Tariff</t>
        </is>
      </c>
      <c r="C78" s="3" t="inlineStr">
        <is>
          <t>https://www.entergy-texas.com/rates</t>
        </is>
      </c>
      <c r="D78" s="3" t="inlineStr">
        <is>
          <t>Schedule LIP</t>
        </is>
      </c>
      <c r="E78" s="3" t="inlineStr">
        <is>
          <t>TX PUC</t>
        </is>
      </c>
    </row>
    <row r="79">
      <c r="A79" s="3" t="inlineStr">
        <is>
          <t>Entergy Mississippi</t>
        </is>
      </c>
      <c r="B79" s="3" t="inlineStr">
        <is>
          <t>Entergy Mississippi Large General Service Tariff</t>
        </is>
      </c>
      <c r="C79" s="3" t="inlineStr">
        <is>
          <t>https://www.entergy-mississippi.com/rates</t>
        </is>
      </c>
      <c r="D79" s="3" t="inlineStr">
        <is>
          <t>Schedule LGS</t>
        </is>
      </c>
      <c r="E79" s="3" t="inlineStr">
        <is>
          <t>MS PSC</t>
        </is>
      </c>
    </row>
    <row r="80">
      <c r="A80" s="3" t="inlineStr">
        <is>
          <t>Entergy New Orleans</t>
        </is>
      </c>
      <c r="B80" s="3" t="inlineStr">
        <is>
          <t>Entergy New Orleans Large Electric Tariff</t>
        </is>
      </c>
      <c r="C80" s="3" t="inlineStr">
        <is>
          <t>https://www.entergy-neworleans.com/rates</t>
        </is>
      </c>
      <c r="D80" s="3" t="inlineStr">
        <is>
          <t>Schedule LES</t>
        </is>
      </c>
      <c r="E80" s="3" t="inlineStr">
        <is>
          <t>NOLA City Council</t>
        </is>
      </c>
    </row>
    <row r="81">
      <c r="A81" s="3" t="inlineStr">
        <is>
          <t>Empire District Electric</t>
        </is>
      </c>
      <c r="B81" s="3" t="inlineStr">
        <is>
          <t>Empire District Electric Large Power Tariff</t>
        </is>
      </c>
      <c r="C81" s="3" t="inlineStr">
        <is>
          <t>https://www.empiredistrict.com/rates</t>
        </is>
      </c>
      <c r="D81" s="3" t="inlineStr">
        <is>
          <t>Schedule LP</t>
        </is>
      </c>
      <c r="E81" s="3" t="inlineStr">
        <is>
          <t>MO PSC / KS KCC</t>
        </is>
      </c>
    </row>
    <row r="82">
      <c r="A82" s="3" t="inlineStr">
        <is>
          <t>Southwestern Public Service (Xcel)</t>
        </is>
      </c>
      <c r="B82" s="3" t="inlineStr">
        <is>
          <t>SPS Large General Service Tariff</t>
        </is>
      </c>
      <c r="C82" s="3" t="inlineStr">
        <is>
          <t>https://www.xcelenergy.com/sps/rates</t>
        </is>
      </c>
      <c r="D82" s="3" t="inlineStr">
        <is>
          <t>Schedule 36</t>
        </is>
      </c>
      <c r="E82" s="3" t="inlineStr">
        <is>
          <t>TX PUC / NM PRC</t>
        </is>
      </c>
    </row>
    <row r="83">
      <c r="A83" s="3" t="inlineStr">
        <is>
          <t>Public Service Company of New Mexico (PNM)</t>
        </is>
      </c>
      <c r="B83" s="3" t="inlineStr">
        <is>
          <t>PNM Large Power Service Tariff</t>
        </is>
      </c>
      <c r="C83" s="3" t="inlineStr">
        <is>
          <t>https://www.pnm.com/rates</t>
        </is>
      </c>
      <c r="D83" s="3" t="inlineStr">
        <is>
          <t>Schedule 3B</t>
        </is>
      </c>
      <c r="E83" s="3" t="inlineStr">
        <is>
          <t>NM PRC</t>
        </is>
      </c>
    </row>
    <row r="84">
      <c r="A84" s="3" t="inlineStr">
        <is>
          <t>NorthWestern Energy (MT)</t>
        </is>
      </c>
      <c r="B84" s="3" t="inlineStr">
        <is>
          <t>NorthWestern Energy Montana Large General Tariff</t>
        </is>
      </c>
      <c r="C84" s="3" t="inlineStr">
        <is>
          <t>https://www.northwesternenergy.com/rates</t>
        </is>
      </c>
      <c r="D84" s="3" t="inlineStr">
        <is>
          <t>Schedule LGS</t>
        </is>
      </c>
      <c r="E84" s="3" t="inlineStr">
        <is>
          <t>MT PSC</t>
        </is>
      </c>
    </row>
    <row r="85">
      <c r="A85" s="3" t="inlineStr">
        <is>
          <t>NorthWestern Energy (SD)</t>
        </is>
      </c>
      <c r="B85" s="3" t="inlineStr">
        <is>
          <t>NorthWestern Energy SD Large General Tariff</t>
        </is>
      </c>
      <c r="C85" s="3" t="inlineStr">
        <is>
          <t>https://www.northwesternenergy.com/rates</t>
        </is>
      </c>
      <c r="D85" s="3" t="inlineStr">
        <is>
          <t>Schedule LGS-SD</t>
        </is>
      </c>
      <c r="E85" s="3" t="inlineStr">
        <is>
          <t>SD PUC</t>
        </is>
      </c>
    </row>
    <row r="86">
      <c r="A86" s="3" t="inlineStr">
        <is>
          <t>Gulf Power (NextEra)</t>
        </is>
      </c>
      <c r="B86" s="3" t="inlineStr">
        <is>
          <t>Gulf Power Large Demand Service Tariff</t>
        </is>
      </c>
      <c r="C86" s="3" t="inlineStr">
        <is>
          <t>https://www.gulfpower.com/rates</t>
        </is>
      </c>
      <c r="D86" s="3" t="inlineStr">
        <is>
          <t>Schedule LDS-1</t>
        </is>
      </c>
      <c r="E86" s="3" t="inlineStr">
        <is>
          <t>FL PSC</t>
        </is>
      </c>
    </row>
    <row r="87">
      <c r="A87" s="3" t="inlineStr">
        <is>
          <t>Duke Energy Indiana</t>
        </is>
      </c>
      <c r="B87" s="3" t="inlineStr">
        <is>
          <t>Duke Energy Indiana Rate HLF</t>
        </is>
      </c>
      <c r="C87" s="3" t="inlineStr">
        <is>
          <t>https://www.duke-energy.com/rates/indiana</t>
        </is>
      </c>
      <c r="D87" s="3" t="inlineStr">
        <is>
          <t>Schedule HLF</t>
        </is>
      </c>
      <c r="E87" s="3" t="inlineStr">
        <is>
          <t>IN URC</t>
        </is>
      </c>
    </row>
    <row r="88">
      <c r="A88" s="3" t="inlineStr">
        <is>
          <t>Duke Energy Kentucky</t>
        </is>
      </c>
      <c r="B88" s="3" t="inlineStr">
        <is>
          <t>Duke Energy Kentucky Rate DS</t>
        </is>
      </c>
      <c r="C88" s="3" t="inlineStr">
        <is>
          <t>https://www.duke-energy.com/rates/kentucky</t>
        </is>
      </c>
      <c r="D88" s="3" t="inlineStr">
        <is>
          <t>Schedule DS</t>
        </is>
      </c>
      <c r="E88" s="3" t="inlineStr">
        <is>
          <t>KY PSC</t>
        </is>
      </c>
    </row>
    <row r="89">
      <c r="A89" s="3" t="inlineStr">
        <is>
          <t>Duke Energy Ohio</t>
        </is>
      </c>
      <c r="B89" s="3" t="inlineStr">
        <is>
          <t>Duke Energy Ohio Rate DP</t>
        </is>
      </c>
      <c r="C89" s="3" t="inlineStr">
        <is>
          <t>https://www.duke-energy.com/rates/ohio</t>
        </is>
      </c>
      <c r="D89" s="3" t="inlineStr">
        <is>
          <t>Schedule DP</t>
        </is>
      </c>
      <c r="E89" s="3" t="inlineStr">
        <is>
          <t>OH PUCO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C41" sqref="C41"/>
    </sheetView>
  </sheetViews>
  <sheetFormatPr baseColWidth="10" defaultColWidth="8.83203125" defaultRowHeight="15"/>
  <cols>
    <col width="35" customWidth="1" min="1" max="1"/>
    <col width="45" customWidth="1" min="2" max="2"/>
    <col width="50" customWidth="1" min="3" max="3"/>
  </cols>
  <sheetData>
    <row r="1" ht="19" customHeight="1">
      <c r="A1" s="8" t="inlineStr">
        <is>
          <t>PROTECTION SCORING METHODOLOGY</t>
        </is>
      </c>
      <c r="B1" s="8" t="n"/>
      <c r="C1" s="8" t="n"/>
    </row>
    <row r="2">
      <c r="A2" s="3" t="n"/>
      <c r="B2" s="3" t="n"/>
      <c r="C2" s="3" t="n"/>
    </row>
    <row r="3">
      <c r="A3" s="6" t="inlineStr">
        <is>
          <t>Category</t>
        </is>
      </c>
      <c r="B3" s="6" t="inlineStr">
        <is>
          <t>Criteria</t>
        </is>
      </c>
      <c r="C3" s="6" t="inlineStr">
        <is>
          <t>Points</t>
        </is>
      </c>
    </row>
    <row r="4">
      <c r="A4" s="3" t="inlineStr">
        <is>
          <t>Minimum Demand (Ratchet %)</t>
        </is>
      </c>
      <c r="B4" s="3" t="inlineStr">
        <is>
          <t>&gt;= 90% of contract demand</t>
        </is>
      </c>
      <c r="C4" s="9" t="inlineStr">
        <is>
          <t>+3</t>
        </is>
      </c>
    </row>
    <row r="5">
      <c r="A5" s="3" t="inlineStr">
        <is>
          <t>Minimum Demand (Ratchet %)</t>
        </is>
      </c>
      <c r="B5" s="3" t="inlineStr">
        <is>
          <t>80-89% of contract demand</t>
        </is>
      </c>
      <c r="C5" s="9" t="inlineStr">
        <is>
          <t>+2</t>
        </is>
      </c>
    </row>
    <row r="6">
      <c r="A6" s="3" t="inlineStr">
        <is>
          <t>Minimum Demand (Ratchet %)</t>
        </is>
      </c>
      <c r="B6" s="3" t="inlineStr">
        <is>
          <t>60-79% of contract demand</t>
        </is>
      </c>
      <c r="C6" s="9" t="inlineStr">
        <is>
          <t>+1</t>
        </is>
      </c>
    </row>
    <row r="7">
      <c r="A7" s="3" t="inlineStr">
        <is>
          <t>Contract Term</t>
        </is>
      </c>
      <c r="B7" s="3" t="inlineStr">
        <is>
          <t>&gt;= 15 years</t>
        </is>
      </c>
      <c r="C7" s="9" t="inlineStr">
        <is>
          <t>+3</t>
        </is>
      </c>
    </row>
    <row r="8">
      <c r="A8" s="3" t="inlineStr">
        <is>
          <t>Contract Term</t>
        </is>
      </c>
      <c r="B8" s="3" t="inlineStr">
        <is>
          <t>10-14 years</t>
        </is>
      </c>
      <c r="C8" s="9" t="inlineStr">
        <is>
          <t>+2</t>
        </is>
      </c>
    </row>
    <row r="9">
      <c r="A9" s="3" t="inlineStr">
        <is>
          <t>Contract Term</t>
        </is>
      </c>
      <c r="B9" s="3" t="inlineStr">
        <is>
          <t>5-9 years</t>
        </is>
      </c>
      <c r="C9" s="9" t="inlineStr">
        <is>
          <t>+1</t>
        </is>
      </c>
    </row>
    <row r="10">
      <c r="A10" s="3" t="inlineStr">
        <is>
          <t>CIAC Required</t>
        </is>
      </c>
      <c r="B10" s="3" t="inlineStr">
        <is>
          <t>Yes</t>
        </is>
      </c>
      <c r="C10" s="9" t="inlineStr">
        <is>
          <t>+2</t>
        </is>
      </c>
    </row>
    <row r="11">
      <c r="A11" s="3" t="inlineStr">
        <is>
          <t>Take-or-Pay</t>
        </is>
      </c>
      <c r="B11" s="3" t="inlineStr">
        <is>
          <t>Yes</t>
        </is>
      </c>
      <c r="C11" s="9" t="inlineStr">
        <is>
          <t>+2</t>
        </is>
      </c>
    </row>
    <row r="12">
      <c r="A12" s="3" t="inlineStr">
        <is>
          <t>Exit Fee</t>
        </is>
      </c>
      <c r="B12" s="3" t="inlineStr">
        <is>
          <t>Yes</t>
        </is>
      </c>
      <c r="C12" s="9" t="inlineStr">
        <is>
          <t>+2</t>
        </is>
      </c>
    </row>
    <row r="13">
      <c r="A13" s="3" t="inlineStr">
        <is>
          <t>Demand Ratchet</t>
        </is>
      </c>
      <c r="B13" s="3" t="inlineStr">
        <is>
          <t>Yes</t>
        </is>
      </c>
      <c r="C13" s="9" t="inlineStr">
        <is>
          <t>+1</t>
        </is>
      </c>
    </row>
    <row r="14">
      <c r="A14" s="3" t="inlineStr">
        <is>
          <t>Credit Requirements</t>
        </is>
      </c>
      <c r="B14" s="3" t="inlineStr">
        <is>
          <t>Yes</t>
        </is>
      </c>
      <c r="C14" s="9" t="inlineStr">
        <is>
          <t>+1</t>
        </is>
      </c>
    </row>
    <row r="15">
      <c r="A15" s="3" t="inlineStr">
        <is>
          <t>DC-Specific Provisions</t>
        </is>
      </c>
      <c r="B15" s="3" t="inlineStr">
        <is>
          <t>Yes</t>
        </is>
      </c>
      <c r="C15" s="9" t="inlineStr">
        <is>
          <t>+2</t>
        </is>
      </c>
    </row>
    <row r="16">
      <c r="A16" s="3" t="inlineStr">
        <is>
          <t>Collateral/Deposit</t>
        </is>
      </c>
      <c r="B16" s="3" t="inlineStr">
        <is>
          <t>Yes</t>
        </is>
      </c>
      <c r="C16" s="9" t="inlineStr">
        <is>
          <t>+1</t>
        </is>
      </c>
    </row>
    <row r="17">
      <c r="A17" s="3" t="inlineStr">
        <is>
          <t>Minimum Load Threshold</t>
        </is>
      </c>
      <c r="B17" s="3" t="inlineStr">
        <is>
          <t>&gt;= 50 MW</t>
        </is>
      </c>
      <c r="C17" s="9" t="inlineStr">
        <is>
          <t>+1</t>
        </is>
      </c>
    </row>
    <row r="18">
      <c r="A18" s="3" t="n"/>
      <c r="B18" s="3" t="n"/>
      <c r="C18" s="3" t="n"/>
    </row>
    <row r="19">
      <c r="A19" s="3" t="inlineStr">
        <is>
          <t>Maximum Possible Score</t>
        </is>
      </c>
      <c r="B19" s="3" t="n"/>
      <c r="C19" s="9" t="inlineStr">
        <is>
          <t>19</t>
        </is>
      </c>
    </row>
    <row r="20">
      <c r="A20" s="3" t="n"/>
      <c r="B20" s="3" t="n"/>
      <c r="C20" s="3" t="n"/>
    </row>
    <row r="21">
      <c r="A21" s="6" t="inlineStr">
        <is>
          <t>SCORE THRESHOLDS</t>
        </is>
      </c>
      <c r="B21" s="6" t="n"/>
      <c r="C21" s="6" t="n"/>
    </row>
    <row r="22">
      <c r="A22" s="3" t="inlineStr">
        <is>
          <t>High Protection</t>
        </is>
      </c>
      <c r="B22" s="3" t="inlineStr">
        <is>
          <t>&gt;= 14 points</t>
        </is>
      </c>
      <c r="C22" s="3" t="inlineStr">
        <is>
          <t>Strong ratepayer protections; challenging for data centers</t>
        </is>
      </c>
    </row>
    <row r="23">
      <c r="A23" s="3" t="inlineStr">
        <is>
          <t>Mid Protection</t>
        </is>
      </c>
      <c r="B23" s="3" t="inlineStr">
        <is>
          <t>8-13 points</t>
        </is>
      </c>
      <c r="C23" s="3" t="inlineStr">
        <is>
          <t>Moderate protections; negotiable terms</t>
        </is>
      </c>
    </row>
    <row r="24">
      <c r="A24" s="3" t="inlineStr">
        <is>
          <t>Low Protection</t>
        </is>
      </c>
      <c r="B24" s="3" t="inlineStr">
        <is>
          <t>&lt; 8 points</t>
        </is>
      </c>
      <c r="C24" s="3" t="inlineStr">
        <is>
          <t>Minimal protections; favorable for data centers</t>
        </is>
      </c>
    </row>
    <row r="25">
      <c r="A25" s="3" t="n"/>
      <c r="B25" s="3" t="n"/>
      <c r="C25" s="3" t="n"/>
    </row>
    <row r="26">
      <c r="A26" s="3" t="inlineStr">
        <is>
          <t>INTERPRETATION</t>
        </is>
      </c>
      <c r="B26" s="3" t="n"/>
      <c r="C26" s="3" t="n"/>
    </row>
    <row r="27">
      <c r="A27" s="3" t="inlineStr">
        <is>
          <t>HIGH score</t>
        </is>
      </c>
      <c r="B27" s="3">
        <f>More difficult provisions for data centers</f>
        <v/>
      </c>
      <c r="C27" s="3" t="n"/>
    </row>
    <row r="28">
      <c r="A28" s="3" t="inlineStr">
        <is>
          <t>LOW score</t>
        </is>
      </c>
      <c r="B28" s="3">
        <f>More favorable provisions for data centers</f>
        <v/>
      </c>
      <c r="C28" s="3" t="n"/>
    </row>
    <row r="29">
      <c r="A29" s="3" t="n"/>
      <c r="B29" s="3" t="n"/>
      <c r="C29" s="3" t="n"/>
    </row>
    <row r="30">
      <c r="A30" s="3" t="inlineStr">
        <is>
          <t>FORMULA USED IN TARIFF DATABASE:</t>
        </is>
      </c>
      <c r="B30" s="3" t="n"/>
      <c r="C30" s="3" t="n"/>
    </row>
    <row r="31">
      <c r="A31" s="3">
        <f>IF(Ratchet%&gt;=90,3,IF(Ratchet%&gt;=80,2,IF(Ratchet%&gt;=60,1,0)))</f>
        <v/>
      </c>
      <c r="B31" s="3" t="n"/>
      <c r="C31" s="3" t="inlineStr">
        <is>
          <t>Ratchet % component</t>
        </is>
      </c>
    </row>
    <row r="32">
      <c r="A32" s="3" t="inlineStr">
        <is>
          <t>+IF(Contract&gt;=15,3,IF(Contract&gt;=10,2,IF(Contract&gt;=5,1,0)))</t>
        </is>
      </c>
      <c r="B32" s="3" t="n"/>
      <c r="C32" s="3" t="inlineStr">
        <is>
          <t>Contract term component</t>
        </is>
      </c>
    </row>
    <row r="33">
      <c r="A33" s="3" t="inlineStr">
        <is>
          <t>+IF(CIAC="Yes",2,0)+IF(Take-or-Pay="Yes",2,0)+IF(Exit Fee="Yes",2,0)</t>
        </is>
      </c>
      <c r="B33" s="3" t="n"/>
      <c r="C33" s="3" t="inlineStr">
        <is>
          <t>Financial security</t>
        </is>
      </c>
    </row>
    <row r="34">
      <c r="A34" s="3" t="inlineStr">
        <is>
          <t>+IF(Ratchet="Yes",1,0)+IF(Credit="Yes",1,0)+IF(DC="Yes",2,0)+IF(Collateral="Yes",1,0)</t>
        </is>
      </c>
      <c r="B34" s="3" t="n"/>
      <c r="C34" s="3" t="inlineStr">
        <is>
          <t>Other provisions</t>
        </is>
      </c>
    </row>
    <row r="35">
      <c r="A35" s="3" t="inlineStr">
        <is>
          <t>+IF(Min Load&gt;=50,1,0)</t>
        </is>
      </c>
      <c r="B35" s="3" t="n"/>
      <c r="C35" s="3" t="inlineStr">
        <is>
          <t>Load threshold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B21" sqref="B21"/>
    </sheetView>
  </sheetViews>
  <sheetFormatPr baseColWidth="10" defaultColWidth="8.83203125" defaultRowHeight="15"/>
  <cols>
    <col width="30" customWidth="1" min="1" max="1"/>
    <col width="55" customWidth="1" min="2" max="2"/>
    <col width="30" customWidth="1" min="3" max="3"/>
  </cols>
  <sheetData>
    <row r="1" ht="19" customHeight="1">
      <c r="A1" s="10" t="inlineStr">
        <is>
          <t>LARGE LOAD TARIFF DATABASE - QA/QC SUMMARY</t>
        </is>
      </c>
      <c r="B1" s="10" t="n"/>
      <c r="C1" s="10" t="n"/>
    </row>
    <row r="2">
      <c r="A2" t="inlineStr">
        <is>
          <t>Generated: January 2026</t>
        </is>
      </c>
    </row>
    <row r="4">
      <c r="A4" s="11" t="inlineStr">
        <is>
          <t>DATABASE STATISTICS</t>
        </is>
      </c>
      <c r="B4" s="11" t="n"/>
      <c r="C4" s="11" t="n"/>
    </row>
    <row r="5">
      <c r="A5" t="inlineStr">
        <is>
          <t>Total Utilities</t>
        </is>
      </c>
      <c r="B5" t="n">
        <v>72</v>
      </c>
    </row>
    <row r="6">
      <c r="A6" t="inlineStr">
        <is>
          <t>States Covered</t>
        </is>
      </c>
      <c r="B6" t="n">
        <v>45</v>
      </c>
    </row>
    <row r="8">
      <c r="A8" s="11" t="inlineStr">
        <is>
          <t>BLENDED RATE METHODOLOGY</t>
        </is>
      </c>
      <c r="B8" s="11" t="n"/>
      <c r="C8" s="11" t="n"/>
    </row>
    <row r="9">
      <c r="A9" t="inlineStr">
        <is>
          <t>Data Center Size</t>
        </is>
      </c>
      <c r="B9" t="inlineStr">
        <is>
          <t>600 MW</t>
        </is>
      </c>
    </row>
    <row r="10">
      <c r="A10" t="inlineStr">
        <is>
          <t>Load Factor</t>
        </is>
      </c>
      <c r="B10" t="inlineStr">
        <is>
          <t>80%</t>
        </is>
      </c>
    </row>
    <row r="11">
      <c r="A11" t="inlineStr">
        <is>
          <t>Average Load</t>
        </is>
      </c>
      <c r="B11" t="inlineStr">
        <is>
          <t>480 MW</t>
        </is>
      </c>
    </row>
    <row r="12">
      <c r="A12" t="inlineStr">
        <is>
          <t>Monthly Consumption</t>
        </is>
      </c>
      <c r="B12" t="inlineStr">
        <is>
          <t>350,400,000 kWh</t>
        </is>
      </c>
    </row>
    <row r="13">
      <c r="A13" t="inlineStr">
        <is>
          <t>Peak Hours (40%)</t>
        </is>
      </c>
      <c r="B13" t="inlineStr">
        <is>
          <t>140,160,000 kWh</t>
        </is>
      </c>
    </row>
    <row r="14">
      <c r="A14" t="inlineStr">
        <is>
          <t>Off-Peak Hours (60%)</t>
        </is>
      </c>
      <c r="B14" t="inlineStr">
        <is>
          <t>210,240,000 kWh</t>
        </is>
      </c>
    </row>
    <row r="15">
      <c r="A15" t="inlineStr">
        <is>
          <t>Billing Demand</t>
        </is>
      </c>
      <c r="B15" t="inlineStr">
        <is>
          <t>600,000 kW</t>
        </is>
      </c>
    </row>
    <row r="17">
      <c r="A17" s="11" t="inlineStr">
        <is>
          <t>FORMULA</t>
        </is>
      </c>
      <c r="B17" s="11" t="n"/>
      <c r="C17" s="11" t="n"/>
    </row>
    <row r="18">
      <c r="A18" t="inlineStr">
        <is>
          <t>Blended Rate</t>
        </is>
      </c>
      <c r="B18" s="12" t="inlineStr">
        <is>
          <t>=(@Demand Cost +@ Energy Cost +@ Fixed) /@ Total kWh</t>
        </is>
      </c>
    </row>
    <row r="19">
      <c r="A19" t="inlineStr">
        <is>
          <t>Demand Cost</t>
        </is>
      </c>
    </row>
    <row r="20">
      <c r="A20" t="inlineStr">
        <is>
          <t>Energy Cost</t>
        </is>
      </c>
      <c r="B20" s="12" t="inlineStr">
        <is>
          <t>=(@Peak Energy +@ Fuel) *@ Peak kWh + (@Off-@Peak +@ Fuel) *@ Off-@Peak kWh</t>
        </is>
      </c>
    </row>
    <row r="22">
      <c r="A22" s="11" t="inlineStr">
        <is>
          <t>QA/QC CORRECTIONS APPLIED</t>
        </is>
      </c>
      <c r="B22" s="11" t="n"/>
      <c r="C22" s="11" t="n"/>
    </row>
    <row r="23">
      <c r="A23" t="inlineStr">
        <is>
          <t>We Energies</t>
        </is>
      </c>
      <c r="B23" t="inlineStr">
        <is>
          <t>Demand charge $305→$21.62/kW</t>
        </is>
      </c>
      <c r="C23" t="inlineStr">
        <is>
          <t>Decimal error</t>
        </is>
      </c>
    </row>
    <row r="24">
      <c r="A24" t="inlineStr">
        <is>
          <t>ERCOT</t>
        </is>
      </c>
      <c r="B24" t="inlineStr">
        <is>
          <t>Renamed to "ERCOT Market (via REP)"</t>
        </is>
      </c>
      <c r="C24" t="inlineStr">
        <is>
          <t>Not a retailer</t>
        </is>
      </c>
    </row>
    <row r="25">
      <c r="A25" t="inlineStr">
        <is>
          <t>Oncor/CenterPoint</t>
        </is>
      </c>
      <c r="B25" t="inlineStr">
        <is>
          <t>Added REP energy charges</t>
        </is>
      </c>
      <c r="C25" t="inlineStr">
        <is>
          <t>TDU-only</t>
        </is>
      </c>
    </row>
    <row r="26">
      <c r="A26" t="inlineStr">
        <is>
          <t>OK/TX/GA utilities</t>
        </is>
      </c>
      <c r="B26" t="inlineStr">
        <is>
          <t>Added fuel adjustment riders</t>
        </is>
      </c>
      <c r="C26" t="inlineStr">
        <is>
          <t>Missing fuel costs</t>
        </is>
      </c>
    </row>
    <row r="27">
      <c r="A27" t="inlineStr">
        <is>
          <t>Black Hills</t>
        </is>
      </c>
      <c r="B27" t="inlineStr">
        <is>
          <t>Added minimum load requirements</t>
        </is>
      </c>
      <c r="C27" t="inlineStr">
        <is>
          <t>Missing thresholds</t>
        </is>
      </c>
    </row>
    <row r="28">
      <c r="A28" t="inlineStr">
        <is>
          <t>Pepco/PECO</t>
        </is>
      </c>
      <c r="B28" t="inlineStr">
        <is>
          <t>Added missing major PJM utilities</t>
        </is>
      </c>
      <c r="C28" t="inlineStr">
        <is>
          <t>Coverage gap</t>
        </is>
      </c>
    </row>
    <row r="29">
      <c r="A29" t="inlineStr">
        <is>
          <t>FirstEnergy</t>
        </is>
      </c>
      <c r="B29" t="inlineStr">
        <is>
          <t>Added OH/PA/NJ operating companies</t>
        </is>
      </c>
      <c r="C29" t="inlineStr">
        <is>
          <t>Coverage gap</t>
        </is>
      </c>
    </row>
    <row r="31">
      <c r="A31" s="11" t="inlineStr">
        <is>
          <t>DATA SOURCES</t>
        </is>
      </c>
      <c r="B31" s="11" t="n"/>
      <c r="C31" s="11" t="n"/>
    </row>
    <row r="32">
      <c r="A32" t="inlineStr">
        <is>
          <t>E3 Study</t>
        </is>
      </c>
      <c r="B32" t="inlineStr">
        <is>
          <t>"Tailored for Scale" (2024)</t>
        </is>
      </c>
    </row>
    <row r="33">
      <c r="A33" t="inlineStr">
        <is>
          <t>State PUC Filings</t>
        </is>
      </c>
      <c r="B33" t="inlineStr">
        <is>
          <t>Rate cases, tariff filings</t>
        </is>
      </c>
    </row>
    <row r="34">
      <c r="A34" t="inlineStr">
        <is>
          <t>Utility Tariffs</t>
        </is>
      </c>
      <c r="B34" t="inlineStr">
        <is>
          <t>Published rate schedules</t>
        </is>
      </c>
    </row>
    <row r="35">
      <c r="A35" t="inlineStr">
        <is>
          <t>ISO/RTO Documents</t>
        </is>
      </c>
      <c r="B35" t="inlineStr">
        <is>
          <t>OATT, market rules</t>
        </is>
      </c>
    </row>
    <row r="36">
      <c r="A36" t="inlineStr">
        <is>
          <t>QA/QC Audit - Feb 2026</t>
        </is>
      </c>
      <c r="B36" t="inlineStr">
        <is>
          <t>Applied 19 corrections</t>
        </is>
      </c>
      <c r="C36" t="inlineStr">
        <is>
          <t>2026-02-01 11:48</t>
        </is>
      </c>
    </row>
    <row r="37">
      <c r="A37" t="inlineStr">
        <is>
          <t>Critical Fix</t>
        </is>
      </c>
      <c r="B37" t="inlineStr">
        <is>
          <t>FPL IGC charge added ($28.07/kW)</t>
        </is>
      </c>
      <c r="C37" t="inlineStr">
        <is>
          <t>$191M/yr variance corrected</t>
        </is>
      </c>
    </row>
    <row r="38">
      <c r="A38" t="inlineStr">
        <is>
          <t>Status Updates</t>
        </is>
      </c>
      <c r="B38" t="inlineStr">
        <is>
          <t>FPL→Active, Duke FL→Suspended</t>
        </is>
      </c>
      <c r="C38" t="inlineStr">
        <is>
          <t>Regulatory latency correction</t>
        </is>
      </c>
    </row>
    <row r="39">
      <c r="A39" t="inlineStr">
        <is>
          <t>Tariff Rename</t>
        </is>
      </c>
      <c r="B39" t="inlineStr">
        <is>
          <t>AEP Ohio GS-4→DCT</t>
        </is>
      </c>
      <c r="C39" t="inlineStr">
        <is>
          <t>Per PUCO July 2025 order</t>
        </is>
      </c>
    </row>
    <row r="40">
      <c r="A40" t="inlineStr">
        <is>
          <t>Rate Correction</t>
        </is>
      </c>
      <c r="B40" t="inlineStr">
        <is>
          <t>We Energies $21.62→$22.59/kW</t>
        </is>
      </c>
      <c r="C40" t="inlineStr">
        <is>
          <t>Per current tariff 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2026-01-31T22:50:53Z</dcterms:created>
  <dcterms:modified xmlns:dcterms="http://purl.org/dc/terms/" xmlns:xsi="http://www.w3.org/2001/XMLSchema-instance" xsi:type="dcterms:W3CDTF">2026-02-01T11:48:51Z</dcterms:modified>
  <cp:lastModifiedBy>Douglas Mackenzie</cp:lastModifiedBy>
</cp:coreProperties>
</file>